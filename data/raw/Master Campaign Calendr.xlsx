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2026" sheetId="1" r:id="rId5"/>
    <sheet state="visible" name="may 2026" sheetId="2" r:id="rId6"/>
    <sheet state="visible" name="april 2026" sheetId="3" r:id="rId7"/>
    <sheet state="visible" name="march 2026" sheetId="4" r:id="rId8"/>
    <sheet state="visible" name="feb 2026" sheetId="5" r:id="rId9"/>
    <sheet state="visible" name="jan 2026" sheetId="6" r:id="rId10"/>
    <sheet state="visible" name="december 2025" sheetId="7" r:id="rId11"/>
    <sheet state="visible" name="november 2025" sheetId="8" r:id="rId12"/>
    <sheet state="visible" name="October 2025" sheetId="9" r:id="rId13"/>
    <sheet state="visible" name="september 2025" sheetId="10" r:id="rId14"/>
    <sheet state="visible" name="august 2025" sheetId="11" r:id="rId15"/>
    <sheet state="visible" name="july 2025" sheetId="12" r:id="rId16"/>
    <sheet state="visible" name="june 2025" sheetId="13" r:id="rId17"/>
    <sheet state="visible" name="may 2025" sheetId="14" r:id="rId18"/>
    <sheet state="visible" name="april 2025" sheetId="15" r:id="rId19"/>
    <sheet state="visible" name="march 2025" sheetId="16" r:id="rId20"/>
  </sheets>
  <definedNames/>
  <calcPr/>
</workbook>
</file>

<file path=xl/sharedStrings.xml><?xml version="1.0" encoding="utf-8"?>
<sst xmlns="http://schemas.openxmlformats.org/spreadsheetml/2006/main" count="1038" uniqueCount="396">
  <si>
    <t>Central Campaign</t>
  </si>
  <si>
    <t>Tier</t>
  </si>
  <si>
    <t>Geography</t>
  </si>
  <si>
    <t>Tentative Start Date</t>
  </si>
  <si>
    <t>Tentative End Date</t>
  </si>
  <si>
    <t>Promos + Coupons</t>
  </si>
  <si>
    <t>Category Focus</t>
  </si>
  <si>
    <t>Onsite Plan/ Deliverables (TBC)</t>
  </si>
  <si>
    <t>Wireframes</t>
  </si>
  <si>
    <t>Feed  Module Refresh (m/w/k/b)
Sans Trends</t>
  </si>
  <si>
    <t>-</t>
  </si>
  <si>
    <t>KSA + UAE</t>
  </si>
  <si>
    <t>NA</t>
  </si>
  <si>
    <t>Fashion Feed</t>
  </si>
  <si>
    <t>June Onsite Wireframes'26</t>
  </si>
  <si>
    <t>Summer Rerun</t>
  </si>
  <si>
    <t>Tier1
Tier 2 - Post Eoss</t>
  </si>
  <si>
    <t>Summer-relevant categories (dresses, sets, swimwear &amp; beachwear, tops &amp; tees, sun care &amp; hydration essentials, etc.)</t>
  </si>
  <si>
    <r>
      <rPr>
        <rFont val="Calibri"/>
        <color theme="1"/>
      </rPr>
      <t xml:space="preserve">Feed module + landing page
</t>
    </r>
    <r>
      <rPr>
        <rFont val="Calibri"/>
        <b/>
        <i/>
        <color theme="1"/>
      </rPr>
      <t>Fashion Feed</t>
    </r>
  </si>
  <si>
    <t>EOSS</t>
  </si>
  <si>
    <t>Tier 1</t>
  </si>
  <si>
    <t>TBD</t>
  </si>
  <si>
    <t>Platform-wide (deal code based)</t>
  </si>
  <si>
    <r>
      <rPr>
        <rFont val="Calibri"/>
        <color theme="1"/>
      </rPr>
      <t xml:space="preserve">Hero Module + Landing Page
</t>
    </r>
    <r>
      <rPr>
        <rFont val="Calibri"/>
        <b/>
        <i/>
        <color theme="1"/>
      </rPr>
      <t>Fashion Feed + Sports Feed + Outlet Feed + Premium Feed</t>
    </r>
  </si>
  <si>
    <t>Father's Day</t>
  </si>
  <si>
    <t>Tier 2</t>
  </si>
  <si>
    <t>Gifting Relevant Categories</t>
  </si>
  <si>
    <r>
      <rPr>
        <rFont val="Calibri"/>
        <color theme="1"/>
      </rPr>
      <t xml:space="preserve">Feed Module + Landing Page
</t>
    </r>
    <r>
      <rPr>
        <rFont val="Calibri"/>
        <b/>
        <i/>
        <color theme="1"/>
      </rPr>
      <t>Men's Fashion Feed</t>
    </r>
  </si>
  <si>
    <t>Wellness Edit (Int. Yoga Day)</t>
  </si>
  <si>
    <t>Athleisure and Yoga specific Categories</t>
  </si>
  <si>
    <r>
      <rPr>
        <rFont val="Calibri"/>
        <color theme="1"/>
      </rPr>
      <t xml:space="preserve">TBD
</t>
    </r>
    <r>
      <rPr>
        <rFont val="Calibri"/>
        <b/>
        <i/>
        <color theme="1"/>
      </rPr>
      <t>Fashion Feed + Sports Feed</t>
    </r>
  </si>
  <si>
    <t>World Cup</t>
  </si>
  <si>
    <t>Tier 1 (sports feed)</t>
  </si>
  <si>
    <t>World Cup specific Catgeories</t>
  </si>
  <si>
    <r>
      <rPr>
        <rFont val="Calibri"/>
        <color theme="1"/>
      </rPr>
      <t xml:space="preserve">Sports Feed
</t>
    </r>
    <r>
      <rPr>
        <rFont val="Calibri"/>
        <i/>
        <color theme="1"/>
      </rPr>
      <t>Fashion feed Entry Points</t>
    </r>
  </si>
  <si>
    <t xml:space="preserve"> To be shared separately </t>
  </si>
  <si>
    <t>F1</t>
  </si>
  <si>
    <t>Tier 2 on Men
Tier 3 Women &amp; Kids</t>
  </si>
  <si>
    <t>KSA+UAE</t>
  </si>
  <si>
    <t>F1 Assortment</t>
  </si>
  <si>
    <r>
      <rPr>
        <rFont val="Calibri"/>
        <b val="0"/>
        <i val="0"/>
        <color theme="1"/>
      </rPr>
      <t xml:space="preserve">Module/Carousel
</t>
    </r>
    <r>
      <rPr>
        <rFont val="Calibri"/>
        <b/>
        <i/>
        <color theme="1"/>
      </rPr>
      <t>Sports + Fashion Feed</t>
    </r>
  </si>
  <si>
    <t>May 26 Onsite WFs</t>
  </si>
  <si>
    <t>Feed  Module Refresh (m/w/k/b)</t>
  </si>
  <si>
    <t>Spring Summer Refresh</t>
  </si>
  <si>
    <t>Tier 2 on Women &amp; Kids
Tier 1 Men</t>
  </si>
  <si>
    <r>
      <rPr>
        <rFont val="Calibri"/>
        <color theme="1"/>
      </rPr>
      <t xml:space="preserve">Feed module + landing page
</t>
    </r>
    <r>
      <rPr>
        <rFont val="Calibri"/>
        <b/>
        <i/>
        <color theme="1"/>
      </rPr>
      <t>Fashion Feed</t>
    </r>
  </si>
  <si>
    <t>Get Ready for Eid (Adha)</t>
  </si>
  <si>
    <t>Tier 1 on Women &amp; Kids
Tier 2 - Men</t>
  </si>
  <si>
    <t>Fashion (arabian wear, dresses,etc) beauty &amp; grooming, Sports</t>
  </si>
  <si>
    <r>
      <rPr>
        <rFont val="Calibri"/>
        <color theme="1"/>
      </rPr>
      <t xml:space="preserve">Hero Module + Landing Page
</t>
    </r>
    <r>
      <rPr>
        <rFont val="Calibri"/>
        <b/>
        <i/>
        <color theme="1"/>
      </rPr>
      <t>Fashion Feed + Beauty Feed + Sports Feed</t>
    </r>
  </si>
  <si>
    <t xml:space="preserve">Travel </t>
  </si>
  <si>
    <t>Travel summer + winter categories for travel</t>
  </si>
  <si>
    <r>
      <rPr>
        <rFont val="Calibri"/>
        <color theme="1"/>
      </rPr>
      <t xml:space="preserve">Feed Module + Landing Page
</t>
    </r>
    <r>
      <rPr>
        <rFont val="Calibri"/>
        <b/>
        <i/>
        <color theme="1"/>
      </rPr>
      <t>Fashion Feed</t>
    </r>
  </si>
  <si>
    <t>Eid Sale</t>
  </si>
  <si>
    <r>
      <rPr>
        <rFont val="Calibri"/>
        <color theme="1"/>
      </rPr>
      <t xml:space="preserve">Hero banner + feed module
</t>
    </r>
    <r>
      <rPr>
        <rFont val="Calibri"/>
        <b/>
        <i/>
        <color theme="1"/>
      </rPr>
      <t>Fashion Feed + Beauty Feed + Sports Feed</t>
    </r>
  </si>
  <si>
    <t>Beauty Week</t>
  </si>
  <si>
    <t>Beauty</t>
  </si>
  <si>
    <t>Beauty Feed + EP on diff feeds</t>
  </si>
  <si>
    <t>Saudi Vision 2030 - 10th Anniversary (PIF commitment)</t>
  </si>
  <si>
    <t>KSA</t>
  </si>
  <si>
    <t>Local brands, arabian wear, streetwear, beauty</t>
  </si>
  <si>
    <r>
      <rPr>
        <rFont val="Calibri"/>
        <i/>
        <color theme="1"/>
      </rPr>
      <t xml:space="preserve">Feed module + landing page
</t>
    </r>
    <r>
      <rPr>
        <rFont val="Calibri"/>
        <b/>
        <i/>
        <color theme="1"/>
      </rPr>
      <t>Fashion Feed</t>
    </r>
  </si>
  <si>
    <t>BTS Soft Push (kids)</t>
  </si>
  <si>
    <t>BTS-relevant categories (kidswear, stationery, backpacks, etc.)</t>
  </si>
  <si>
    <t>Feed module + landing page</t>
  </si>
  <si>
    <t>April Onsite WF'26</t>
  </si>
  <si>
    <t>Feed Refresh (m/w/k/b)</t>
  </si>
  <si>
    <t>Spring/ Summer Trends</t>
  </si>
  <si>
    <t>Hero module + feed module showcasing trends</t>
  </si>
  <si>
    <t>Spring Summer 2026 | M/W/K</t>
  </si>
  <si>
    <t>Coupon to run from 16th to 25th - details TBD</t>
  </si>
  <si>
    <t>World Cup Soft Launch</t>
  </si>
  <si>
    <t>World cup jerseys &amp; related apparel, footwear, accessories</t>
  </si>
  <si>
    <t>Banner on sports feed/ module</t>
  </si>
  <si>
    <t>Payday</t>
  </si>
  <si>
    <t>Hero banner + feed module</t>
  </si>
  <si>
    <t>Ramadan</t>
  </si>
  <si>
    <t>Ramadan onsite plan</t>
  </si>
  <si>
    <t>Arabian &amp; modest wear, beauty, FAB, gifting</t>
  </si>
  <si>
    <t>Feed takeover</t>
  </si>
  <si>
    <t>Ramadan'2026 Onsite WFs</t>
  </si>
  <si>
    <t>International Women's Day</t>
  </si>
  <si>
    <t>Fashion, sports, beauty</t>
  </si>
  <si>
    <t>Mother's Day (Gifting)</t>
  </si>
  <si>
    <t>Gifting-relevant categories + USPs</t>
  </si>
  <si>
    <t>Feed module + landing page
Carousel on 90min page
VPLPs on EJW pages</t>
  </si>
  <si>
    <t>World Cup (TBC)</t>
  </si>
  <si>
    <t>adidas away kits launch (Mar 20)
Finalissima: Argentina v. Spain (Mar 27)</t>
  </si>
  <si>
    <t>Spring Summer Rerun</t>
  </si>
  <si>
    <t>Spring summer relevant categories + trends</t>
  </si>
  <si>
    <t>Feed module</t>
  </si>
  <si>
    <t>F1 Fan Merch Store</t>
  </si>
  <si>
    <t>Tier 3</t>
  </si>
  <si>
    <t>F1 merch (fashion + sports)</t>
  </si>
  <si>
    <t>Get Ready for Ramadan</t>
  </si>
  <si>
    <t>Fashion (arabian/ modest wear)
Sports (modest/ low-impact activewear)
Beauty (skincare/ hair care)</t>
  </si>
  <si>
    <t>Hero banner module + landing page (across feeds)</t>
  </si>
  <si>
    <t>The Love Edit (Valentine's Day)</t>
  </si>
  <si>
    <t>UAE</t>
  </si>
  <si>
    <t>Fashion, beauty, gifting (EJW focus)</t>
  </si>
  <si>
    <t>Feed banner + landing pages (women/ men)</t>
  </si>
  <si>
    <t>Ramadan (incl. Ramadan Sale)</t>
  </si>
  <si>
    <t>Cashback coupon in line with payday (Feb 26 - Mar 12)
TBC</t>
  </si>
  <si>
    <t>Fashion (arabian/ modest wear)
Sports (modest/ low-impact activewear)
Beauty</t>
  </si>
  <si>
    <t>Holi (targeted to Indian nationals)</t>
  </si>
  <si>
    <t>Fashion &amp; sports (focus on white &amp; indian clothing categories), beauty</t>
  </si>
  <si>
    <t>Roundel</t>
  </si>
  <si>
    <t>Up to 80% off +
5% cashback at min value 400
15% cashback at min value 700
Max cashback of 150</t>
  </si>
  <si>
    <t>Platform-wide</t>
  </si>
  <si>
    <t xml:space="preserve"> EOSS  SALE MAIN PROMO | Up to 80% off + Up to 15% Cashback | 26TH DEC'25</t>
  </si>
  <si>
    <t>Back to School (kids)</t>
  </si>
  <si>
    <t>Kids school essentials (shoes, bags, clothing essentials, stationery, water bottles/ lunch bags)</t>
  </si>
  <si>
    <t>JanOnsiteWFs'26</t>
  </si>
  <si>
    <t>Shopping Festival (in line with Dubai Shopping Festival)</t>
  </si>
  <si>
    <t>Roundel + landing page</t>
  </si>
  <si>
    <t>Feed Monthly Refresh</t>
  </si>
  <si>
    <t>Wardrobe Refresh</t>
  </si>
  <si>
    <t>New arrivals across categories</t>
  </si>
  <si>
    <t>Hero banner + landing page</t>
  </si>
  <si>
    <t>Fitness Edit</t>
  </si>
  <si>
    <t>Sports performance</t>
  </si>
  <si>
    <t>Feed module + inclusion in wardrobre refresh landing page</t>
  </si>
  <si>
    <t>Pantone Color of the Year</t>
  </si>
  <si>
    <t>Platform-wide, focus on shades of white in cline with Pantone shade 2026 (cloud dancer)</t>
  </si>
  <si>
    <t>Pre-Ramadan</t>
  </si>
  <si>
    <t>Platform-wide, with focus on arabian/ modest clothing (new arrivals), activewear, beauty</t>
  </si>
  <si>
    <t>Running/ Marathon Edit</t>
  </si>
  <si>
    <t>Sunday, February 1, 2026 (UAE)
Sunday, February 8, 2026 (KSA)</t>
  </si>
  <si>
    <t>Running apparel, shoes and accessories in line with Dubai/ Riyadh marathons</t>
  </si>
  <si>
    <t>Payday Sale</t>
  </si>
  <si>
    <t>RAMADAN READY MAIN PROMO | Up to 15% Cashback | 23rd JAN'26</t>
  </si>
  <si>
    <t>Winter Sale</t>
  </si>
  <si>
    <t>Time</t>
  </si>
  <si>
    <t>UAE National Day</t>
  </si>
  <si>
    <t>T1</t>
  </si>
  <si>
    <t>Women, men, kids
Fashion (flag colors, modestwear, streetwear/ casual)</t>
  </si>
  <si>
    <t>NovemberOnsiteWFs'25</t>
  </si>
  <si>
    <t>Clearance Sale</t>
  </si>
  <si>
    <t>Up to 90% Off</t>
  </si>
  <si>
    <t>All feeds
Platform-wide</t>
  </si>
  <si>
    <t>Feed refresh</t>
  </si>
  <si>
    <t>DecemberOnsiteWfs</t>
  </si>
  <si>
    <t>Holiday Season/ Gifting</t>
  </si>
  <si>
    <t>UAE + KSA</t>
  </si>
  <si>
    <t>FAB, beauty (giftsets), sports, kids (fashion, toys, character merch), home (hosting essentials, decor)</t>
  </si>
  <si>
    <t>Hero banner + landing page
Feed module (post-15th)</t>
  </si>
  <si>
    <t>Party Edit</t>
  </si>
  <si>
    <t>T2</t>
  </si>
  <si>
    <t>Fashion (party dresses, heels &amp; occasion footwear, smart shirts &amp; blazers, statement bags &amp; jewelry), beauty</t>
  </si>
  <si>
    <t>Hero banner + landing page
Trend banner (post-27th)</t>
  </si>
  <si>
    <t>Travel Edit</t>
  </si>
  <si>
    <t>Comfort wear, winter/ summer wear, travel essentials, beauty minis</t>
  </si>
  <si>
    <t>End of Season Sale (EOSS)</t>
  </si>
  <si>
    <t xml:space="preserve"> EOSS  SALE MAIN PROMO | 30-80% off + Up to 15% Cashback | 26TH DEC'25</t>
  </si>
  <si>
    <t>Campaigns</t>
  </si>
  <si>
    <t>Objective/Key Messaging</t>
  </si>
  <si>
    <t>Promos</t>
  </si>
  <si>
    <t>Beauty Callout</t>
  </si>
  <si>
    <t>Cashback Coupons</t>
  </si>
  <si>
    <t>Coupon Change</t>
  </si>
  <si>
    <t>Deal Codes</t>
  </si>
  <si>
    <t>Onsite Deliverables</t>
  </si>
  <si>
    <t>All</t>
  </si>
  <si>
    <t>30-70% Off</t>
  </si>
  <si>
    <t>Up to 50% Off</t>
  </si>
  <si>
    <t>5% cashback at min. 400 spend
15% cashback at min. 700 spend
Up to 150 aed/ sar
Code: Payday</t>
  </si>
  <si>
    <t>- App logo (Namshi x BN)
- PDP/ cart banners
- Category page entrypoint
- Tier 1 banner / feed
- Offers module</t>
  </si>
  <si>
    <t>Black November</t>
  </si>
  <si>
    <t>Start saving now - Black November deals are here!</t>
  </si>
  <si>
    <t>Up to 70% Off</t>
  </si>
  <si>
    <t>up to 30</t>
  </si>
  <si>
    <t>- Logo unit
- Splashscreen
- PDP/ cart banners
- Category page entrypoint
- Tier 1 banner / feed
- Offers module</t>
  </si>
  <si>
    <t>Black November
11.11 Sale</t>
  </si>
  <si>
    <t>Shop Big, Save Bigger - 11:11 Deals Are Here!</t>
  </si>
  <si>
    <t>40-80% Off</t>
  </si>
  <si>
    <t>up to 70</t>
  </si>
  <si>
    <t>11% cashback at min. 400 spend
Up to 111
Code: 11sale</t>
  </si>
  <si>
    <t>11% cashback on spends above 400 aed 
22% cashback on spends above 1000 aed
Max cap 300</t>
  </si>
  <si>
    <t>- Splashscreen
- Logo unit
- PDP/ cart banners
- Category page entrypoint
- Tier 1 banner/ feed
- Feed takeover / feed</t>
  </si>
  <si>
    <t>Black November. Big Savings!</t>
  </si>
  <si>
    <t>Up to 80% Off</t>
  </si>
  <si>
    <t>- PDP/ cart banners
- Category page entrypoint
- Tier 1 banner / feed
- Offers module</t>
  </si>
  <si>
    <t>Deals Just Got Bigger - Shop Now!</t>
  </si>
  <si>
    <t>40-90% Off</t>
  </si>
  <si>
    <t>40 aed/ sar cashback at min. 400 spend
100 aed/ sar cashback at min. 700 spend
200 aed/ sar cashback at min. 1000 spend
Code: bn200</t>
  </si>
  <si>
    <t>Black November
Namshi Friday</t>
  </si>
  <si>
    <t>Lowest Prices of the Year</t>
  </si>
  <si>
    <t>40aed/ sar cashback at min. 400 spend
100 aed/ sar cashback at min. 700 spend
250 aed/ sar cashback at min. 1000 spend
Code: friday</t>
  </si>
  <si>
    <t>Last Chance to Save Big</t>
  </si>
  <si>
    <t>TBD reactively based on performance</t>
  </si>
  <si>
    <t>Central PoC</t>
  </si>
  <si>
    <t>Payday (September)</t>
  </si>
  <si>
    <t>30-80% Off + Up to 15% Cashback</t>
  </si>
  <si>
    <t>Hero banner + offers module</t>
  </si>
  <si>
    <t>International Coffee Day</t>
  </si>
  <si>
    <t>Fashion + Beauty + Sports (shades of brown)
Home</t>
  </si>
  <si>
    <t>Hero Banner</t>
  </si>
  <si>
    <t>OctoberOnsiteWFs</t>
  </si>
  <si>
    <t>Aakriti
Aashna</t>
  </si>
  <si>
    <t>Diwali (incl. gifting)</t>
  </si>
  <si>
    <t>Fashion + Beauty + Home + Sports</t>
  </si>
  <si>
    <t>Hero Banner (indian nationals) + Gifting roundel (all)
OR Feed module</t>
  </si>
  <si>
    <t>Tier 1 (Indian Nationals)</t>
  </si>
  <si>
    <t>Halloween</t>
  </si>
  <si>
    <t>Beauty + Kids</t>
  </si>
  <si>
    <t>Module on feed + hero banner and elevated plp + halloween essentials + 90 mins carousel last 2 days</t>
  </si>
  <si>
    <t>Performance Edit (Dubai Active/ Dubai Fitness)</t>
  </si>
  <si>
    <t>Sports + Fashion (athleisure)</t>
  </si>
  <si>
    <t>Tier 1 at launch
Tier 2 starting payday</t>
  </si>
  <si>
    <t>Zeina</t>
  </si>
  <si>
    <t>30-80% off + up to 20% cashback as follows:
10% for 300-500 spend
20% for 500+ spend
Max cap 150</t>
  </si>
  <si>
    <t>Aakriti</t>
  </si>
  <si>
    <t>Trends/ Edits</t>
  </si>
  <si>
    <t>Riyadh Fashion Week (TBC)</t>
  </si>
  <si>
    <t>17th - 21st October</t>
  </si>
  <si>
    <t xml:space="preserve">Fashion + Sports </t>
  </si>
  <si>
    <t>Trend banner</t>
  </si>
  <si>
    <t>Wedding Edit</t>
  </si>
  <si>
    <t>Fashion (occasionwear)</t>
  </si>
  <si>
    <t>Banner + Module+ hub+ category tree</t>
  </si>
  <si>
    <t>Last Chance BTS</t>
  </si>
  <si>
    <t xml:space="preserve">40-80% Off + Up to 10% Cashback*
Beauty : 20-50% Off + Up to 10% Cashback
5% cashback for 2+ items added to cart
10% cashback for 5+ items added to cart
max cap 150 aed/ sar
</t>
  </si>
  <si>
    <t>Hero banner + roundel
Sale feed takeover (UAE)</t>
  </si>
  <si>
    <t>BTS PHASE 3 SALE PROMO(ALL FEEDS) | 40-80% off + Up to 15% Cashback | 12TH AUG'25</t>
  </si>
  <si>
    <t>September Onsite Plan</t>
  </si>
  <si>
    <t>AW 2025/2026</t>
  </si>
  <si>
    <t>Fashion</t>
  </si>
  <si>
    <t>Banner + feed module</t>
  </si>
  <si>
    <t>September 25</t>
  </si>
  <si>
    <t>International Beauty Day</t>
  </si>
  <si>
    <t>Banner</t>
  </si>
  <si>
    <t>KSA National Day</t>
  </si>
  <si>
    <t>Arabian wear, accessories, beauty, arabian home decor, gift sets</t>
  </si>
  <si>
    <t>Banner + landing page</t>
  </si>
  <si>
    <t>KSA National Day 25 - Onsite</t>
  </si>
  <si>
    <t>KSA National Day (Promo)</t>
  </si>
  <si>
    <t>September 18 (TBC)</t>
  </si>
  <si>
    <t>September 23 (TBC)</t>
  </si>
  <si>
    <t>Coupon to be confirmed</t>
  </si>
  <si>
    <t>30-80% + Up to 15% cashback
5% cashback for 350+ aed/ sar
15% cashback for 700+ aed/ sar
max cap 150 aed/ sar</t>
  </si>
  <si>
    <t>T2 banner + categories on discount</t>
  </si>
  <si>
    <t xml:space="preserve">Banner
Feed </t>
  </si>
  <si>
    <t>Beauty Week Plan | Sept '25</t>
  </si>
  <si>
    <t>CRM Plan/ Deliverables</t>
  </si>
  <si>
    <t>DM &amp; Social Plan/ Deliverables</t>
  </si>
  <si>
    <t>BP Plan/ Deliverables</t>
  </si>
  <si>
    <t>30-80% Off + Up to 15% Cashback
Coupon code: BTS
5% Cashback | Min Order Value 350 AED / SAR
15% Cashback | Min Order Value 700 AED / SAR
T&amp;Cs
Maximum cashback limit is 150 AED / SAR.
Cashback is applicable on noon &amp; Namshi, no minimum spend required.
Cashback will be credited 14 days after delivery.
Cashback is valid for 60 days.</t>
  </si>
  <si>
    <t>- Tier 2 banner (under HB) + roundel across feeds + landing page
- Middle nav</t>
  </si>
  <si>
    <t>BTS Takeover</t>
  </si>
  <si>
    <t>AE + GCC</t>
  </si>
  <si>
    <t>BTS-relevant categories (e.g., footwear, bags, winter wear, stationery, lunch boxes/ water bottles)</t>
  </si>
  <si>
    <t>- Hero banner + roundel 
- Feed takeover</t>
  </si>
  <si>
    <t>BTS Last Chance</t>
  </si>
  <si>
    <t>- Hero banner + roundel
- Landing page</t>
  </si>
  <si>
    <t>Comments/ Additional Ref</t>
  </si>
  <si>
    <t>30-70% off + up to 20% cashback</t>
  </si>
  <si>
    <t>- Hero banner + roundel across feeds + landing page
- Middle nav</t>
  </si>
  <si>
    <t>EOSS | W/M/K | 20th June 2025</t>
  </si>
  <si>
    <t xml:space="preserve">Aakriti
</t>
  </si>
  <si>
    <t>July Feed Refresh</t>
  </si>
  <si>
    <t>- Full feed refresh</t>
  </si>
  <si>
    <t>July Feed 2025</t>
  </si>
  <si>
    <t>Aakriti
Chloe</t>
  </si>
  <si>
    <t xml:space="preserve">Summer Store - Extension/ Refresh </t>
  </si>
  <si>
    <t>July Trends/Hero Banners</t>
  </si>
  <si>
    <t>Chloe</t>
  </si>
  <si>
    <t xml:space="preserve">BTS Soft Launch </t>
  </si>
  <si>
    <t>BTS-relevant categories (footwear, bags, winter wear, stationery, lunch boxes/ water bottles)</t>
  </si>
  <si>
    <t>- Hero banner + roundel across feeds + landing page</t>
  </si>
  <si>
    <t>BTS - 2025</t>
  </si>
  <si>
    <t>Lipstick Day</t>
  </si>
  <si>
    <t>July Plan | Beauty
Lip Moment - Soft Launch (15th July-25 July) | Beauty | 2025</t>
  </si>
  <si>
    <t>Aashna</t>
  </si>
  <si>
    <t>-Hero banner + roundel 
- Feed takeover</t>
  </si>
  <si>
    <t>30-80% Off + Up to 15% Cashback
Coupon code: BTS
5% Cashback | Min Order Value 350 AED / SAR
15% Cashback | Min Order Value 700 AED / SAR
T&amp;Cs
Maximum cashback limit is 150 AED / SAR.
Cashback is applicable on noon &amp; Namshi, no minimum spend required.
Cashback will be credited 14 days after delivery.
Cashback is valid for 60 days.
For GCC the construct will be the same - converted to local currency.</t>
  </si>
  <si>
    <t>Trends</t>
  </si>
  <si>
    <t>Summer Store (W)</t>
  </si>
  <si>
    <t>- Hero Banner with trend entry point
- Landing page
- Middle Nav
- Calling out summer trends - Floaty Dresses, Seaside Chic, Elevated Accessories, Summer Tailoring</t>
  </si>
  <si>
    <r>
      <rPr>
        <rFont val="Calibri"/>
      </rPr>
      <t xml:space="preserve">Central Nav: </t>
    </r>
    <r>
      <rPr>
        <rFont val="Calibri"/>
        <color rgb="FF1155CC"/>
        <u/>
      </rPr>
      <t xml:space="preserve">https://docs.google.com/spreadsheets/d/1WDERN9EQbU9PibZHORM4HobgU3rsrjxQ-fo2TkaQ1As/edit?gid=0#gid=0
</t>
    </r>
    <r>
      <rPr>
        <rFont val="Calibri"/>
      </rPr>
      <t xml:space="preserve">Hero: </t>
    </r>
    <r>
      <rPr>
        <rFont val="Calibri"/>
        <color rgb="FF1155CC"/>
        <u/>
      </rPr>
      <t>https://docs.google.com/spreadsheets/d/1WDERN9EQbU9PibZHORM4HobgU3rsrjxQ-fo2TkaQ1As/edit?gid=945566179#gid=945566179</t>
    </r>
  </si>
  <si>
    <t>Summer Store (M)</t>
  </si>
  <si>
    <t>- Hero Banner with trend entry point
- Landing page
- Middle Nav</t>
  </si>
  <si>
    <r>
      <rPr>
        <rFont val="Calibri"/>
      </rPr>
      <t xml:space="preserve">Central Nav: </t>
    </r>
    <r>
      <rPr>
        <rFont val="Calibri"/>
        <color rgb="FF1155CC"/>
        <u/>
      </rPr>
      <t xml:space="preserve">https://docs.google.com/spreadsheets/d/1WDERN9EQbU9PibZHORM4HobgU3rsrjxQ-fo2TkaQ1As/edit?gid=2000873559#gid=2000873559
</t>
    </r>
    <r>
      <rPr>
        <rFont val="Calibri"/>
      </rPr>
      <t xml:space="preserve">Hero: </t>
    </r>
    <r>
      <rPr>
        <rFont val="Calibri"/>
        <color rgb="FF1155CC"/>
        <u/>
      </rPr>
      <t>https://docs.google.com/spreadsheets/d/1WDERN9EQbU9PibZHORM4HobgU3rsrjxQ-fo2TkaQ1As/edit?gid=280602229#gid=280602229</t>
    </r>
  </si>
  <si>
    <t>The Essentials Shop</t>
  </si>
  <si>
    <t>- Feed module</t>
  </si>
  <si>
    <t>https://docs.google.com/spreadsheets/d/1WDERN9EQbU9PibZHORM4HobgU3rsrjxQ-fo2TkaQ1As/edit?gid=379718639#gid=379718639</t>
  </si>
  <si>
    <t>https://docs.google.com/spreadsheets/d/1WDERN9EQbU9PibZHORM4HobgU3rsrjxQ-fo2TkaQ1As/edit?gid=792172573#gid=792172573</t>
  </si>
  <si>
    <t>Soft Girl Summer (W)</t>
  </si>
  <si>
    <t>- Hero Banner</t>
  </si>
  <si>
    <t>https://docs.google.com/spreadsheets/d/1WDERN9EQbU9PibZHORM4HobgU3rsrjxQ-fo2TkaQ1As/edit?gid=604858772#gid=604858772</t>
  </si>
  <si>
    <t>Resort Wear (W)</t>
  </si>
  <si>
    <t>https://docs.google.com/spreadsheets/d/1WDERN9EQbU9PibZHORM4HobgU3rsrjxQ-fo2TkaQ1As/edit?gid=604858772#gid=604858773</t>
  </si>
  <si>
    <t>Resort Wear (M)</t>
  </si>
  <si>
    <t>https://docs.google.com/spreadsheets/d/1WDERN9EQbU9PibZHORM4HobgU3rsrjxQ-fo2TkaQ1As/edit?gid=604858772#gid=604858774</t>
  </si>
  <si>
    <t>Coastal Core (M)</t>
  </si>
  <si>
    <t>https://docs.google.com/spreadsheets/d/1WDERN9EQbU9PibZHORM4HobgU3rsrjxQ-fo2TkaQ1As/edit?gid=604858772#gid=604858775</t>
  </si>
  <si>
    <t>30-80% off + Up to 15% cashback</t>
  </si>
  <si>
    <t>- Hero banner + roundel across feeds
- Middle nav</t>
  </si>
  <si>
    <t>Alita</t>
  </si>
  <si>
    <t>June Feed Refresh</t>
  </si>
  <si>
    <t>JUNE FASHION FEED REFRESH | WOMEN &amp; MEN | 5TH JUNE'25</t>
  </si>
  <si>
    <r>
      <rPr>
        <rFont val="Calibri"/>
        <color theme="1"/>
      </rPr>
      <t xml:space="preserve">Summer/ Travel Edits </t>
    </r>
    <r>
      <rPr>
        <rFont val="Calibri"/>
        <i/>
        <color theme="1"/>
      </rPr>
      <t>(refreshed)</t>
    </r>
  </si>
  <si>
    <t>Summer + comfort wear, beauty summer essentials (e.g., suncare/ skincare), bags &amp; luggage, outdoors decor, travel accessories</t>
  </si>
  <si>
    <t>- Hero banner
- Middle nav
- Inclusion in feed modules</t>
  </si>
  <si>
    <t>Fathers' Day</t>
  </si>
  <si>
    <t>Gifting-related categories (e.g., FAB, grooming) + giftcards/ gifting at checkout/ N90 pushes</t>
  </si>
  <si>
    <t>40-80% off + up to 20% cashback
5% Cashback | Min Order Value 350 AED / SAR
15% Cashback | Min Order Value 700 AED / SAR
20% Cashback | Min Order Value 1,000 AED / SAR</t>
  </si>
  <si>
    <t>Summer Store (M/W)</t>
  </si>
  <si>
    <t>Central Nav Static Page</t>
  </si>
  <si>
    <t>Romanticism (W)</t>
  </si>
  <si>
    <t xml:space="preserve">Hero Banner </t>
  </si>
  <si>
    <t>Minimalism (M)</t>
  </si>
  <si>
    <t>Wellness Girl/Boy (M/W)</t>
  </si>
  <si>
    <t>Fashion + Sports</t>
  </si>
  <si>
    <t>Hero Banner + PLP</t>
  </si>
  <si>
    <t>Sports Style (W)</t>
  </si>
  <si>
    <t>Preppy (M)</t>
  </si>
  <si>
    <t>Jun 5 (TBC)</t>
  </si>
  <si>
    <t>Fashion (arabian wear, prayer essentials), gifting, beauty &amp; grooming, home &amp; decor</t>
  </si>
  <si>
    <t>- Hero banner (+ LP) + roundel across feeds
- Middle nav</t>
  </si>
  <si>
    <t>Travel in Comfort</t>
  </si>
  <si>
    <t>May 14 (TBC)</t>
  </si>
  <si>
    <t>Jun 9 (TBC)</t>
  </si>
  <si>
    <t xml:space="preserve">Fashion (bags &amp; luggage, comfort/ travel clothing and shoes), beauty (minis, skincare), home </t>
  </si>
  <si>
    <t>- Hero banner across feeds
- Middle nav</t>
  </si>
  <si>
    <t>Beauty (brands on discount, GWPs)</t>
  </si>
  <si>
    <t>- Hero banner + roundel on beauty and fashion feeds
- Middle nav</t>
  </si>
  <si>
    <t>Aashna/ Vaishnavi</t>
  </si>
  <si>
    <t>'- Hero banner + roundel across feeds
- Middle nav
-WF: EID MAIN SALE PROMO(ALL FEEDS) | 30-80% off + Up to 15% Cashback | 26TH MAY'25</t>
  </si>
  <si>
    <t>Trend (Hero Banner)</t>
  </si>
  <si>
    <t>City To Beach (M/W)</t>
  </si>
  <si>
    <t>Summer Outfits/Holiday Outfits
Swimwear, Beachwear, Summer Dresses/Sets, Crop Tops, Shorts/Skirts, Sandals, Flip Flops, Slides, Sunglasses</t>
  </si>
  <si>
    <t>90's Off Duty Style (W)</t>
  </si>
  <si>
    <t xml:space="preserve">90's Fashion + Beauty
Crop Tops, Baggy Jeans, Converse, Checks, </t>
  </si>
  <si>
    <t>- Hero Banner
- Hub</t>
  </si>
  <si>
    <t>Destination Dresses (W)</t>
  </si>
  <si>
    <t>Occasion dresses to wear on holiday</t>
  </si>
  <si>
    <t>High Summer (M/W)</t>
  </si>
  <si>
    <t>Summer Dresses, Denim Shorts, Slides, Flip Flops, Linen, Bright Colours, Crochet, Sequins, Embrodiery</t>
  </si>
  <si>
    <t>Court Sports (M)</t>
  </si>
  <si>
    <t>Polo Shirts, Gold/Padel/Tennis Styles</t>
  </si>
  <si>
    <t>Graphic Content (M)</t>
  </si>
  <si>
    <t>Graphic Tees + Clothing</t>
  </si>
  <si>
    <t>Start Date</t>
  </si>
  <si>
    <t>End Date</t>
  </si>
  <si>
    <t>Merch Focus</t>
  </si>
  <si>
    <t>Theme</t>
  </si>
  <si>
    <t>Country</t>
  </si>
  <si>
    <t>Wireframe</t>
  </si>
  <si>
    <t>Fashion + FAB + Beauty</t>
  </si>
  <si>
    <t>Fashion + FAB + Beauty + Home</t>
  </si>
  <si>
    <t>Travel</t>
  </si>
  <si>
    <t xml:space="preserve">Premium </t>
  </si>
  <si>
    <t>Premium Hub</t>
  </si>
  <si>
    <t>ALL</t>
  </si>
  <si>
    <t>Sports</t>
  </si>
  <si>
    <t>Sneakers Arena/ New In/ Shop the Look</t>
  </si>
  <si>
    <t>Sports Central Nav | Middle Button 7th-10th April</t>
  </si>
  <si>
    <t>Fashion + FAB</t>
  </si>
  <si>
    <t>Summer in Focus (Trends)/New In/Brands</t>
  </si>
  <si>
    <t>Beat the summer - Mid Nav 10-14 Apr</t>
  </si>
  <si>
    <t xml:space="preserve">Beauty </t>
  </si>
  <si>
    <t>Skincare Focus (Derma + K-beauty)</t>
  </si>
  <si>
    <t>Summer Self-Care Store | Beauty Middle Nav | 15th April'25</t>
  </si>
  <si>
    <t xml:space="preserve">Fashion + Beauty </t>
  </si>
  <si>
    <t>Sustainable Brands/Green Day</t>
  </si>
  <si>
    <t>Sustainable M/W</t>
  </si>
  <si>
    <t>Brands in Spotlight (Hidden gems)</t>
  </si>
  <si>
    <t>Hidden Gems</t>
  </si>
  <si>
    <t>Rerun - Summer in focus</t>
  </si>
  <si>
    <t xml:space="preserve">All </t>
  </si>
  <si>
    <t xml:space="preserve">Payday (Deals + Clearance + Lucky Sizes)
1)        Main Promo : 30-80% + up to 15% cashback
2 ) Beauty Promo : 20- 50% + up to 15% cashback
5% Cashback | Min Spend 350 | Max Cashback 150
15% Cashback | Min Spend 700 | Max Cashback 150
*follow AED for all markets. 
CODE : PAYDAY
</t>
  </si>
  <si>
    <t>Payday  | 30-80% Off + Up to 15% Extra cashback | 25th Apr'25</t>
  </si>
  <si>
    <t>Together in Ramadan (I)</t>
  </si>
  <si>
    <t>20-60% off + 10% cashback*
On 2-4 items - 5% 
5 and above - 10%
Use code: EXTRA
* Max 100 aed/ sar</t>
  </si>
  <si>
    <t>Clothing (arabian/ modest wear), FAB, beauty - focus on full-price + semi-discounting</t>
  </si>
  <si>
    <t>- Hero banner + roundel by feed
- App theme
- Feed takeover across fashion, beauty, home</t>
  </si>
  <si>
    <t>Female fashion (clothing + FAB), beauty</t>
  </si>
  <si>
    <t>- Hero banner + roundel on women fashion + beauty</t>
  </si>
  <si>
    <t>https://docs.google.com/spreadsheets/d/1ZhWAeRkAz6sKuVonrZQ0vAFf8oNwWUNHohjwELAQFEc/edit?gid=0#gid=0</t>
  </si>
  <si>
    <t>Holi</t>
  </si>
  <si>
    <t>Together in Ramadan (II)</t>
  </si>
  <si>
    <t>30-70% Off (TBC)</t>
  </si>
  <si>
    <t>- Fashion (focus on clothing + FAB across branded/ PL)
- Beauty</t>
  </si>
  <si>
    <t>Get Ready for Eid</t>
  </si>
  <si>
    <t>Up to 80% Off + Coupon (TBC)</t>
  </si>
  <si>
    <t>FAB, beauty + focus on gifting-relevant categories
Gifting at checkout + same day/ 90min delivery as USPs</t>
  </si>
  <si>
    <t>- Hero banner + roundel by feed
- App theme</t>
  </si>
  <si>
    <t>Mothers' Day</t>
  </si>
  <si>
    <t>Female fashion (clothing + FAB), beauty (self-care) + focus on gifting-relevant categories
Gifting at checkout + same day/ 90min delivery as USPs</t>
  </si>
  <si>
    <t>https://docs.google.com/spreadsheets/d/1YHzlCLCcVNVVMGlgu4q6_lTwa5H-PeVigLl5qF73Gg8/edit?gid=0#gid=0</t>
  </si>
  <si>
    <t>End of Ramadan Sale</t>
  </si>
  <si>
    <t>30-90% Off + Coupon (TBC)</t>
  </si>
  <si>
    <t xml:space="preserve">Travel Hub </t>
  </si>
  <si>
    <t>Comfortable clothing/ shoes, travel accessories,  bags and luggage, mini-sized beauty products</t>
  </si>
  <si>
    <t>- Hero banner on women fashion + beauty</t>
  </si>
  <si>
    <t>https://docs.google.com/spreadsheets/d/1eVZMmjU8OExG0xp4UHykWuSVavxPgYxXWdGzWgk-504/edit?gid=0#gid=0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</si>
</sst>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dd, mmmm d, yyyy"/>
    <numFmt numFmtId="165" formatCode="h:mm am/pm"/>
    <numFmt numFmtId="166" formatCode="dddd&quot;, &quot;mmmm&quot; &quot;d&quot;, &quot;yyyy"/>
    <numFmt numFmtId="167" formatCode="mmmm d"/>
    <numFmt numFmtId="168" formatCode="mmm d"/>
    <numFmt numFmtId="169" formatCode="d&quot;-&quot;mmm"/>
  </numFmts>
  <fonts count="30">
    <font>
      <sz val="10.0"/>
      <color rgb="FF000000"/>
      <name val="Arial"/>
      <scheme val="minor"/>
    </font>
    <font>
      <b/>
      <color rgb="FF00FF00"/>
      <name val="Calibri"/>
    </font>
    <font>
      <color theme="1"/>
      <name val="Calibri"/>
    </font>
    <font>
      <b/>
      <i/>
      <color theme="1"/>
      <name val="Calibri"/>
    </font>
    <font>
      <u/>
      <color theme="1"/>
      <name val="Calibri"/>
    </font>
    <font>
      <u/>
      <color theme="1"/>
      <name val="Calibri"/>
    </font>
    <font>
      <color theme="1"/>
      <name val="Arial"/>
    </font>
    <font>
      <i/>
      <color theme="1"/>
      <name val="Calibri"/>
    </font>
    <font>
      <color rgb="FF999999"/>
      <name val="Calibri"/>
    </font>
    <font>
      <u/>
      <color rgb="FF999999"/>
      <name val="Calibri"/>
    </font>
    <font>
      <u/>
      <color rgb="FF999999"/>
      <name val="Calibri"/>
    </font>
    <font>
      <u/>
      <color rgb="FF999999"/>
      <name val="Calibri"/>
    </font>
    <font>
      <u/>
      <color theme="1"/>
      <name val="Calibri"/>
    </font>
    <font>
      <b/>
      <color theme="1"/>
      <name val="Calibri"/>
    </font>
    <font>
      <b/>
      <color rgb="FFFFFFFF"/>
      <name val="Calibri"/>
    </font>
    <font>
      <u/>
      <color rgb="FF999999"/>
      <name val="Calibri"/>
    </font>
    <font>
      <i/>
      <u/>
      <color theme="1"/>
      <name val="Arial"/>
    </font>
    <font>
      <u/>
      <color theme="1"/>
      <name val="Calibri"/>
    </font>
    <font>
      <u/>
      <color theme="1"/>
      <name val="Arial"/>
    </font>
    <font>
      <u/>
      <color theme="1"/>
      <name val="Arial"/>
    </font>
    <font>
      <u/>
      <color rgb="FF0000FF"/>
      <name val="Calibri"/>
    </font>
    <font/>
    <font>
      <u/>
      <color rgb="FF1155CC"/>
      <name val="Calibri"/>
    </font>
    <font>
      <u/>
      <color rgb="FF1155CC"/>
      <name val="Arial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u/>
      <color rgb="FF1155CC"/>
      <name val="Calibri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3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horizontal="center" shrinkToFit="0" wrapText="1"/>
    </xf>
    <xf borderId="0" fillId="2" fontId="1" numFmtId="0" xfId="0" applyAlignment="1" applyFont="1">
      <alignment horizontal="center"/>
    </xf>
    <xf borderId="1" fillId="3" fontId="6" numFmtId="0" xfId="0" applyBorder="1" applyFont="1"/>
    <xf borderId="0" fillId="0" fontId="6" numFmtId="0" xfId="0" applyAlignment="1" applyFont="1">
      <alignment vertical="bottom"/>
    </xf>
    <xf borderId="1" fillId="4" fontId="7" numFmtId="0" xfId="0" applyAlignment="1" applyBorder="1" applyFill="1" applyFont="1">
      <alignment horizontal="center" shrinkToFit="0" wrapText="1"/>
    </xf>
    <xf borderId="1" fillId="4" fontId="7" numFmtId="0" xfId="0" applyAlignment="1" applyBorder="1" applyFont="1">
      <alignment horizontal="center"/>
    </xf>
    <xf borderId="1" fillId="4" fontId="6" numFmtId="0" xfId="0" applyBorder="1" applyFont="1"/>
    <xf borderId="1" fillId="5" fontId="8" numFmtId="0" xfId="0" applyAlignment="1" applyBorder="1" applyFill="1" applyFont="1">
      <alignment horizontal="center" shrinkToFit="0" wrapText="1"/>
    </xf>
    <xf borderId="1" fillId="5" fontId="8" numFmtId="0" xfId="0" applyAlignment="1" applyBorder="1" applyFont="1">
      <alignment horizontal="center"/>
    </xf>
    <xf borderId="1" fillId="5" fontId="8" numFmtId="164" xfId="0" applyAlignment="1" applyBorder="1" applyFont="1" applyNumberFormat="1">
      <alignment horizontal="center"/>
    </xf>
    <xf borderId="1" fillId="5" fontId="9" numFmtId="0" xfId="0" applyAlignment="1" applyBorder="1" applyFont="1">
      <alignment horizontal="center"/>
    </xf>
    <xf borderId="1" fillId="5" fontId="10" numFmtId="0" xfId="0" applyAlignment="1" applyBorder="1" applyFont="1">
      <alignment horizontal="center" shrinkToFit="0" wrapText="1"/>
    </xf>
    <xf borderId="1" fillId="6" fontId="2" numFmtId="0" xfId="0" applyAlignment="1" applyBorder="1" applyFill="1" applyFont="1">
      <alignment horizontal="center" shrinkToFit="0" wrapText="1"/>
    </xf>
    <xf borderId="1" fillId="6" fontId="2" numFmtId="0" xfId="0" applyAlignment="1" applyBorder="1" applyFont="1">
      <alignment horizontal="center"/>
    </xf>
    <xf borderId="1" fillId="6" fontId="2" numFmtId="164" xfId="0" applyAlignment="1" applyBorder="1" applyFont="1" applyNumberFormat="1">
      <alignment horizontal="center"/>
    </xf>
    <xf borderId="1" fillId="6" fontId="6" numFmtId="0" xfId="0" applyBorder="1" applyFont="1"/>
    <xf borderId="1" fillId="7" fontId="8" numFmtId="0" xfId="0" applyAlignment="1" applyBorder="1" applyFill="1" applyFont="1">
      <alignment horizontal="center"/>
    </xf>
    <xf borderId="1" fillId="7" fontId="8" numFmtId="164" xfId="0" applyAlignment="1" applyBorder="1" applyFont="1" applyNumberFormat="1">
      <alignment horizontal="center" shrinkToFit="0" wrapText="1"/>
    </xf>
    <xf borderId="1" fillId="7" fontId="8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2" fontId="1" numFmtId="0" xfId="0" applyFont="1"/>
    <xf borderId="1" fillId="7" fontId="8" numFmtId="0" xfId="0" applyBorder="1" applyFont="1"/>
    <xf borderId="1" fillId="7" fontId="8" numFmtId="165" xfId="0" applyAlignment="1" applyBorder="1" applyFont="1" applyNumberFormat="1">
      <alignment horizontal="center" shrinkToFit="0" wrapText="1"/>
    </xf>
    <xf borderId="1" fillId="3" fontId="2" numFmtId="0" xfId="0" applyAlignment="1" applyBorder="1" applyFont="1">
      <alignment shrinkToFit="0" wrapText="1"/>
    </xf>
    <xf borderId="1" fillId="3" fontId="2" numFmtId="0" xfId="0" applyBorder="1" applyFont="1"/>
    <xf borderId="1" fillId="3" fontId="2" numFmtId="165" xfId="0" applyAlignment="1" applyBorder="1" applyFont="1" applyNumberFormat="1">
      <alignment horizontal="center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165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 shrinkToFit="0" wrapText="1"/>
    </xf>
    <xf borderId="0" fillId="2" fontId="1" numFmtId="0" xfId="0" applyAlignment="1" applyFont="1">
      <alignment vertical="bottom"/>
    </xf>
    <xf borderId="1" fillId="3" fontId="13" numFmtId="0" xfId="0" applyBorder="1" applyFont="1"/>
    <xf borderId="1" fillId="0" fontId="2" numFmtId="166" xfId="0" applyBorder="1" applyFont="1" applyNumberFormat="1"/>
    <xf borderId="1" fillId="0" fontId="2" numFmtId="165" xfId="0" applyBorder="1" applyFont="1" applyNumberFormat="1"/>
    <xf borderId="1" fillId="3" fontId="13" numFmtId="0" xfId="0" applyAlignment="1" applyBorder="1" applyFont="1">
      <alignment shrinkToFit="0" wrapText="1"/>
    </xf>
    <xf borderId="1" fillId="8" fontId="14" numFmtId="0" xfId="0" applyBorder="1" applyFill="1" applyFont="1"/>
    <xf borderId="0" fillId="0" fontId="2" numFmtId="0" xfId="0" applyAlignment="1" applyFont="1">
      <alignment shrinkToFit="0" wrapText="1"/>
    </xf>
    <xf borderId="1" fillId="0" fontId="6" numFmtId="0" xfId="0" applyBorder="1" applyFont="1"/>
    <xf borderId="1" fillId="0" fontId="7" numFmtId="0" xfId="0" applyBorder="1" applyFont="1"/>
    <xf borderId="1" fillId="0" fontId="6" numFmtId="166" xfId="0" applyBorder="1" applyFont="1" applyNumberFormat="1"/>
    <xf borderId="1" fillId="7" fontId="8" numFmtId="167" xfId="0" applyAlignment="1" applyBorder="1" applyFont="1" applyNumberFormat="1">
      <alignment horizontal="center"/>
    </xf>
    <xf borderId="1" fillId="7" fontId="6" numFmtId="0" xfId="0" applyBorder="1" applyFont="1"/>
    <xf borderId="1" fillId="0" fontId="2" numFmtId="167" xfId="0" applyAlignment="1" applyBorder="1" applyFont="1" applyNumberFormat="1">
      <alignment horizontal="center" shrinkToFit="0" wrapText="1"/>
    </xf>
    <xf borderId="1" fillId="0" fontId="2" numFmtId="167" xfId="0" applyAlignment="1" applyBorder="1" applyFont="1" applyNumberFormat="1">
      <alignment horizontal="center"/>
    </xf>
    <xf borderId="1" fillId="3" fontId="2" numFmtId="167" xfId="0" applyAlignment="1" applyBorder="1" applyFont="1" applyNumberFormat="1">
      <alignment horizontal="center" shrinkToFit="0" wrapText="1"/>
    </xf>
    <xf borderId="1" fillId="3" fontId="2" numFmtId="167" xfId="0" applyAlignment="1" applyBorder="1" applyFont="1" applyNumberFormat="1">
      <alignment horizontal="center"/>
    </xf>
    <xf borderId="0" fillId="3" fontId="6" numFmtId="0" xfId="0" applyFont="1"/>
    <xf borderId="0" fillId="0" fontId="6" numFmtId="0" xfId="0" applyFont="1"/>
    <xf borderId="1" fillId="9" fontId="2" numFmtId="0" xfId="0" applyAlignment="1" applyBorder="1" applyFill="1" applyFont="1">
      <alignment shrinkToFit="0" wrapText="1"/>
    </xf>
    <xf borderId="1" fillId="0" fontId="6" numFmtId="167" xfId="0" applyBorder="1" applyFont="1" applyNumberFormat="1"/>
    <xf borderId="1" fillId="7" fontId="15" numFmtId="0" xfId="0" applyAlignment="1" applyBorder="1" applyFont="1">
      <alignment shrinkToFit="0" wrapText="1"/>
    </xf>
    <xf borderId="0" fillId="3" fontId="2" numFmtId="0" xfId="0" applyFont="1"/>
    <xf quotePrefix="1" borderId="1" fillId="0" fontId="2" numFmtId="0" xfId="0" applyAlignment="1" applyBorder="1" applyFont="1">
      <alignment shrinkToFit="0" wrapText="1"/>
    </xf>
    <xf borderId="1" fillId="3" fontId="6" numFmtId="0" xfId="0" applyAlignment="1" applyBorder="1" applyFont="1">
      <alignment vertical="bottom"/>
    </xf>
    <xf borderId="1" fillId="3" fontId="2" numFmtId="0" xfId="0" applyAlignment="1" applyBorder="1" applyFont="1">
      <alignment horizontal="center" shrinkToFit="0" vertical="bottom" wrapText="1"/>
    </xf>
    <xf quotePrefix="1" borderId="1" fillId="3" fontId="2" numFmtId="0" xfId="0" applyAlignment="1" applyBorder="1" applyFont="1">
      <alignment shrinkToFit="0" wrapText="1"/>
    </xf>
    <xf quotePrefix="1" borderId="1" fillId="3" fontId="2" numFmtId="0" xfId="0" applyBorder="1" applyFont="1"/>
    <xf borderId="0" fillId="0" fontId="16" numFmtId="0" xfId="0" applyFont="1"/>
    <xf quotePrefix="1" borderId="1" fillId="7" fontId="8" numFmtId="0" xfId="0" applyAlignment="1" applyBorder="1" applyFont="1">
      <alignment shrinkToFit="0" wrapText="1"/>
    </xf>
    <xf borderId="1" fillId="3" fontId="17" numFmtId="0" xfId="0" applyAlignment="1" applyBorder="1" applyFont="1">
      <alignment shrinkToFit="0" wrapText="1"/>
    </xf>
    <xf borderId="1" fillId="3" fontId="18" numFmtId="0" xfId="0" applyBorder="1" applyFont="1"/>
    <xf borderId="0" fillId="0" fontId="19" numFmtId="0" xfId="0" applyFont="1"/>
    <xf borderId="2" fillId="0" fontId="20" numFmtId="0" xfId="0" applyAlignment="1" applyBorder="1" applyFont="1">
      <alignment shrinkToFit="0" wrapText="1"/>
    </xf>
    <xf borderId="3" fillId="0" fontId="21" numFmtId="0" xfId="0" applyBorder="1" applyFont="1"/>
    <xf borderId="2" fillId="0" fontId="22" numFmtId="0" xfId="0" applyAlignment="1" applyBorder="1" applyFont="1">
      <alignment shrinkToFit="0" wrapText="1"/>
    </xf>
    <xf borderId="2" fillId="0" fontId="23" numFmtId="0" xfId="0" applyAlignment="1" applyBorder="1" applyFont="1">
      <alignment shrinkToFit="0" wrapText="1"/>
    </xf>
    <xf borderId="1" fillId="7" fontId="8" numFmtId="168" xfId="0" applyAlignment="1" applyBorder="1" applyFont="1" applyNumberFormat="1">
      <alignment horizontal="center"/>
    </xf>
    <xf borderId="1" fillId="7" fontId="8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0" fontId="24" numFmtId="0" xfId="0" applyAlignment="1" applyBorder="1" applyFont="1">
      <alignment shrinkToFit="0" wrapText="1"/>
    </xf>
    <xf borderId="2" fillId="0" fontId="6" numFmtId="0" xfId="0" applyBorder="1" applyFont="1"/>
    <xf borderId="1" fillId="6" fontId="2" numFmtId="0" xfId="0" applyBorder="1" applyFont="1"/>
    <xf borderId="1" fillId="0" fontId="2" numFmtId="168" xfId="0" applyAlignment="1" applyBorder="1" applyFont="1" applyNumberFormat="1">
      <alignment horizontal="center"/>
    </xf>
    <xf quotePrefix="1" borderId="1" fillId="0" fontId="25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bottom" wrapText="1"/>
    </xf>
    <xf borderId="0" fillId="2" fontId="1" numFmtId="0" xfId="0" applyAlignment="1" applyFont="1">
      <alignment horizontal="center" shrinkToFit="0" wrapText="1"/>
    </xf>
    <xf borderId="1" fillId="0" fontId="2" numFmtId="169" xfId="0" applyAlignment="1" applyBorder="1" applyFont="1" applyNumberFormat="1">
      <alignment horizontal="center" vertical="bottom"/>
    </xf>
    <xf borderId="1" fillId="0" fontId="2" numFmtId="169" xfId="0" applyAlignment="1" applyBorder="1" applyFont="1" applyNumberFormat="1">
      <alignment horizontal="center"/>
    </xf>
    <xf borderId="1" fillId="0" fontId="26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0" fillId="0" fontId="27" numFmtId="0" xfId="0" applyAlignment="1" applyFont="1">
      <alignment vertical="bottom"/>
    </xf>
    <xf borderId="2" fillId="0" fontId="2" numFmtId="0" xfId="0" applyAlignment="1" applyBorder="1" applyFont="1">
      <alignment horizontal="center"/>
    </xf>
    <xf borderId="4" fillId="0" fontId="21" numFmtId="0" xfId="0" applyBorder="1" applyFont="1"/>
    <xf borderId="1" fillId="0" fontId="28" numFmtId="0" xfId="0" applyAlignment="1" applyBorder="1" applyFont="1">
      <alignment shrinkToFit="0" wrapText="1"/>
    </xf>
    <xf borderId="5" fillId="0" fontId="29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9uUz7DHGLC6VNByNwrdkTcQOsrBITfRbg0E2q2-5Sc/edit?gid=1706408544" TargetMode="External"/><Relationship Id="rId2" Type="http://schemas.openxmlformats.org/officeDocument/2006/relationships/hyperlink" Target="https://docs.google.com/spreadsheets/d/1M9uUz7DHGLC6VNByNwrdkTcQOsrBITfRbg0E2q2-5Sc/edit?gid=344990144" TargetMode="External"/><Relationship Id="rId3" Type="http://schemas.openxmlformats.org/officeDocument/2006/relationships/hyperlink" Target="https://docs.google.com/spreadsheets/d/1M9uUz7DHGLC6VNByNwrdkTcQOsrBITfRbg0E2q2-5Sc/edit?gid=85509207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0prg8n9UaSgn6ee-x_0YOWbJcyKD_NXUcJomYi5WHg/edit?gid=0" TargetMode="External"/><Relationship Id="rId2" Type="http://schemas.openxmlformats.org/officeDocument/2006/relationships/hyperlink" Target="https://docs.google.com/spreadsheets/d/1A0prg8n9UaSgn6ee-x_0YOWbJcyKD_NXUcJomYi5WHg/edit?gid=1740812233" TargetMode="External"/><Relationship Id="rId3" Type="http://schemas.openxmlformats.org/officeDocument/2006/relationships/hyperlink" Target="https://docs.google.com/spreadsheets/d/1A0prg8n9UaSgn6ee-x_0YOWbJcyKD_NXUcJomYi5WHg/edit?gid=1539648468" TargetMode="External"/><Relationship Id="rId4" Type="http://schemas.openxmlformats.org/officeDocument/2006/relationships/hyperlink" Target="https://docs.google.com/spreadsheets/d/1A0prg8n9UaSgn6ee-x_0YOWbJcyKD_NXUcJomYi5WHg/edit?gid=496772860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RMfp3wt7wHT4KwUnsRfwibPXfKEJc8_tn8nyp1enU/edit?gid=976954273" TargetMode="External"/><Relationship Id="rId2" Type="http://schemas.openxmlformats.org/officeDocument/2006/relationships/hyperlink" Target="https://docs.google.com/spreadsheets/d/1vCRMfp3wt7wHT4KwUnsRfwibPXfKEJc8_tn8nyp1enU/edit?gid=976954273" TargetMode="External"/><Relationship Id="rId3" Type="http://schemas.openxmlformats.org/officeDocument/2006/relationships/hyperlink" Target="https://docs.google.com/spreadsheets/d/1Qk_GzwcSyJM7CGWNdcU15tJ18b9zlfYdLQiTuPydCxI/edit?gid=323698080" TargetMode="External"/><Relationship Id="rId4" Type="http://schemas.openxmlformats.org/officeDocument/2006/relationships/hyperlink" Target="https://docs.google.com/spreadsheets/d/1vCRMfp3wt7wHT4KwUnsRfwibPXfKEJc8_tn8nyp1enU/edit?gid=837122927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M59XB4HvmiwGxmZpEFykXiMOYohSM1DDGOU1yao1CY/edit?pli=1&amp;gid=1587396616" TargetMode="External"/><Relationship Id="rId2" Type="http://schemas.openxmlformats.org/officeDocument/2006/relationships/hyperlink" Target="https://docs.google.com/spreadsheets/d/1eBEWGMo87UAlD3b_tJFsADiqHj0Ndl_cJVdwbkkF1A8/edit?gid=1587396616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BEWGMo87UAlD3b_tJFsADiqHj0Ndl_cJVdwbkkF1A8/edit?gid=1587396616" TargetMode="External"/><Relationship Id="rId2" Type="http://schemas.openxmlformats.org/officeDocument/2006/relationships/hyperlink" Target="https://docs.google.com/spreadsheets/d/1Qk_GzwcSyJM7CGWNdcU15tJ18b9zlfYdLQiTuPydCxI/edit?gid=2117247114" TargetMode="External"/><Relationship Id="rId3" Type="http://schemas.openxmlformats.org/officeDocument/2006/relationships/hyperlink" Target="https://docs.google.com/spreadsheets/d/1eBEWGMo87UAlD3b_tJFsADiqHj0Ndl_cJVdwbkkF1A8/edit?gid=1587396616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-Hd3nrBDcs02jOvlpMalbq6I5PSGBOQkzmjPgM-vTw/edit?pli=1&amp;gid=0" TargetMode="External"/><Relationship Id="rId2" Type="http://schemas.openxmlformats.org/officeDocument/2006/relationships/hyperlink" Target="https://docs.google.com/spreadsheets/d/1Df-Tvg5XT20x-TW8sgoZvGXxX-uKR40puK060vPacm4/edit?pli=1&amp;gid=0" TargetMode="External"/><Relationship Id="rId3" Type="http://schemas.openxmlformats.org/officeDocument/2006/relationships/hyperlink" Target="https://docs.google.com/spreadsheets/d/1Df-Tvg5XT20x-TW8sgoZvGXxX-uKR40puK060vPacm4/edit?pli=1&amp;gid=0" TargetMode="External"/><Relationship Id="rId4" Type="http://schemas.openxmlformats.org/officeDocument/2006/relationships/hyperlink" Target="https://docs.google.com/spreadsheets/d/1Df-Tvg5XT20x-TW8sgoZvGXxX-uKR40puK060vPacm4/edit?pli=1&amp;gid=0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docs.google.com/spreadsheets/d/1Df-Tvg5XT20x-TW8sgoZvGXxX-uKR40puK060vPacm4/edit?pli=1&amp;gid=0" TargetMode="External"/><Relationship Id="rId6" Type="http://schemas.openxmlformats.org/officeDocument/2006/relationships/hyperlink" Target="https://docs.google.com/spreadsheets/d/1Df-Tvg5XT20x-TW8sgoZvGXxX-uKR40puK060vPacm4/edit?pli=1&amp;gid=0" TargetMode="External"/><Relationship Id="rId7" Type="http://schemas.openxmlformats.org/officeDocument/2006/relationships/hyperlink" Target="https://docs.google.com/spreadsheets/d/1Df-Tvg5XT20x-TW8sgoZvGXxX-uKR40puK060vPacm4/edit?pli=1&amp;gid=0" TargetMode="External"/><Relationship Id="rId8" Type="http://schemas.openxmlformats.org/officeDocument/2006/relationships/hyperlink" Target="https://docs.google.com/spreadsheets/d/1dNQpPYQM15FdNXTK39bRstwI9uPhO57O0YvVAI96ZtM/edit?gid=0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vMpvBBcC2zmpSRMNoGVlyoBTpYDMutDApcThwK0Zxo/edit?gid=1003003133" TargetMode="External"/><Relationship Id="rId2" Type="http://schemas.openxmlformats.org/officeDocument/2006/relationships/hyperlink" Target="https://docs.google.com/spreadsheets/d/1CvMpvBBcC2zmpSRMNoGVlyoBTpYDMutDApcThwK0Zxo/edit?gid=1003003133" TargetMode="External"/><Relationship Id="rId3" Type="http://schemas.openxmlformats.org/officeDocument/2006/relationships/hyperlink" Target="https://docs.google.com/spreadsheets/d/13VnTBfSEvztP_ouVn1X6izRftK1UYeiHMWR-ARii5S0/edit?gid=620341948" TargetMode="External"/><Relationship Id="rId4" Type="http://schemas.openxmlformats.org/officeDocument/2006/relationships/hyperlink" Target="https://docs.google.com/spreadsheets/d/13VnTBfSEvztP_ouVn1X6izRftK1UYeiHMWR-ARii5S0/edit?gid=620341948" TargetMode="External"/><Relationship Id="rId5" Type="http://schemas.openxmlformats.org/officeDocument/2006/relationships/hyperlink" Target="https://docs.google.com/spreadsheets/d/13VnTBfSEvztP_ouVn1X6izRftK1UYeiHMWR-ARii5S0/edit?gid=620341948" TargetMode="External"/><Relationship Id="rId6" Type="http://schemas.openxmlformats.org/officeDocument/2006/relationships/hyperlink" Target="https://docs.google.com/spreadsheets/d/13VnTBfSEvztP_ouVn1X6izRftK1UYeiHMWR-ARii5S0/edit?gid=620341948" TargetMode="External"/><Relationship Id="rId7" Type="http://schemas.openxmlformats.org/officeDocument/2006/relationships/hyperlink" Target="https://docs.google.com/spreadsheets/d/1N-Hd3nrBDcs02jOvlpMalbq6I5PSGBOQkzmjPgM-vTw/edit?usp=sharing" TargetMode="External"/><Relationship Id="rId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AOav9dR752zi9gOtDtCKhjebp1uXPqA4bpt7czNTQQ/edit?pli=1&amp;gid=791558185" TargetMode="External"/><Relationship Id="rId2" Type="http://schemas.openxmlformats.org/officeDocument/2006/relationships/hyperlink" Target="https://docs.google.com/spreadsheets/d/1aAOav9dR752zi9gOtDtCKhjebp1uXPqA4bpt7czNTQQ/edit?pli=1&amp;gid=791558185" TargetMode="External"/><Relationship Id="rId3" Type="http://schemas.openxmlformats.org/officeDocument/2006/relationships/hyperlink" Target="https://docs.google.com/spreadsheets/d/1aAOav9dR752zi9gOtDtCKhjebp1uXPqA4bpt7czNTQQ/edit?pli=1&amp;gid=791558185" TargetMode="External"/><Relationship Id="rId4" Type="http://schemas.openxmlformats.org/officeDocument/2006/relationships/hyperlink" Target="https://docs.google.com/spreadsheets/d/1aAOav9dR752zi9gOtDtCKhjebp1uXPqA4bpt7czNTQQ/edit?pli=1&amp;gid=791558185" TargetMode="External"/><Relationship Id="rId5" Type="http://schemas.openxmlformats.org/officeDocument/2006/relationships/hyperlink" Target="https://docs.google.com/spreadsheets/d/1aAOav9dR752zi9gOtDtCKhjebp1uXPqA4bpt7czNTQQ/edit?pli=1&amp;gid=791558185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K9a2z6V0HYYMaT3xGcrtunJDGGuUZUHGLP0yPk5rfU/edit?usp=drive_open&amp;ouid=110222682158756495675" TargetMode="External"/><Relationship Id="rId2" Type="http://schemas.openxmlformats.org/officeDocument/2006/relationships/hyperlink" Target="https://docs.google.com/spreadsheets/d/103YtwFRNY_0mXWoE0DPfM-TxuJy5ZHGME-X_nevpov0/edit?gid=831272217" TargetMode="External"/><Relationship Id="rId3" Type="http://schemas.openxmlformats.org/officeDocument/2006/relationships/hyperlink" Target="https://docs.google.com/spreadsheets/d/1n3X36NblJNDvWzODTFp6_SdvFIE3ktSezskmgIpdbFY/edit?gid=0" TargetMode="External"/><Relationship Id="rId4" Type="http://schemas.openxmlformats.org/officeDocument/2006/relationships/hyperlink" Target="https://docs.google.com/spreadsheets/d/1WjusgBudNTbSwaYW4XMy_DEztuuROBPgzu2YsxBbUlM/edit?gid=648788140" TargetMode="External"/><Relationship Id="rId5" Type="http://schemas.openxmlformats.org/officeDocument/2006/relationships/hyperlink" Target="https://docs.google.com/spreadsheets/d/1j3QDBWKHr9KZaUlMRJp2IezaOmEjeoTJRGQ9A41hH6Y/edit?gid=422350759" TargetMode="External"/><Relationship Id="rId6" Type="http://schemas.openxmlformats.org/officeDocument/2006/relationships/hyperlink" Target="https://docs.google.com/spreadsheets/d/1j3QDBWKHr9KZaUlMRJp2IezaOmEjeoTJRGQ9A41hH6Y/edit?gid=422350759" TargetMode="External"/><Relationship Id="rId7" Type="http://schemas.openxmlformats.org/officeDocument/2006/relationships/hyperlink" Target="https://docs.google.com/spreadsheets/d/1zpjxQ97E0Osi678HffzARPPdXkY7UnMCkP7qM3IngaE/edit?pli=1&amp;gid=0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WDERN9EQbU9PibZHORM4HobgU3rsrjxQ-fo2TkaQ1As/edit?gid=379718639" TargetMode="External"/><Relationship Id="rId10" Type="http://schemas.openxmlformats.org/officeDocument/2006/relationships/hyperlink" Target="https://docs.google.com/spreadsheets/d/1WDERN9EQbU9PibZHORM4HobgU3rsrjxQ-fo2TkaQ1As/edit?gid=2000873559" TargetMode="External"/><Relationship Id="rId13" Type="http://schemas.openxmlformats.org/officeDocument/2006/relationships/hyperlink" Target="https://docs.google.com/spreadsheets/d/1WDERN9EQbU9PibZHORM4HobgU3rsrjxQ-fo2TkaQ1As/edit?gid=604858772" TargetMode="External"/><Relationship Id="rId12" Type="http://schemas.openxmlformats.org/officeDocument/2006/relationships/hyperlink" Target="https://docs.google.com/spreadsheets/d/1WDERN9EQbU9PibZHORM4HobgU3rsrjxQ-fo2TkaQ1As/edit?gid=792172573" TargetMode="External"/><Relationship Id="rId1" Type="http://schemas.openxmlformats.org/officeDocument/2006/relationships/hyperlink" Target="https://docs.google.com/spreadsheets/d/1G11id6t2G971TUKT21mANqyLWZwA76goGaCJ7qgzHpI/edit?gid=1170769378" TargetMode="External"/><Relationship Id="rId2" Type="http://schemas.openxmlformats.org/officeDocument/2006/relationships/hyperlink" Target="https://docs.google.com/spreadsheets/d/1GwJ2oMr314c44Ri8DOQ11lg33_fPhjUZCvJudzkXMJU/edit?gid=2122804627" TargetMode="External"/><Relationship Id="rId3" Type="http://schemas.openxmlformats.org/officeDocument/2006/relationships/hyperlink" Target="https://docs.google.com/spreadsheets/d/1WDERN9EQbU9PibZHORM4HobgU3rsrjxQ-fo2TkaQ1As/edit?gid=0" TargetMode="External"/><Relationship Id="rId4" Type="http://schemas.openxmlformats.org/officeDocument/2006/relationships/hyperlink" Target="https://docs.google.com/spreadsheets/d/1GwJ2oMr314c44Ri8DOQ11lg33_fPhjUZCvJudzkXMJU/edit?gid=1051626956" TargetMode="External"/><Relationship Id="rId9" Type="http://schemas.openxmlformats.org/officeDocument/2006/relationships/hyperlink" Target="https://docs.google.com/spreadsheets/d/1WDERN9EQbU9PibZHORM4HobgU3rsrjxQ-fo2TkaQ1As/edit?gid=0" TargetMode="External"/><Relationship Id="rId15" Type="http://schemas.openxmlformats.org/officeDocument/2006/relationships/hyperlink" Target="https://docs.google.com/spreadsheets/d/1WDERN9EQbU9PibZHORM4HobgU3rsrjxQ-fo2TkaQ1As/edit?gid=604858772" TargetMode="External"/><Relationship Id="rId14" Type="http://schemas.openxmlformats.org/officeDocument/2006/relationships/hyperlink" Target="https://docs.google.com/spreadsheets/d/1WDERN9EQbU9PibZHORM4HobgU3rsrjxQ-fo2TkaQ1As/edit?gid=604858772" TargetMode="External"/><Relationship Id="rId17" Type="http://schemas.openxmlformats.org/officeDocument/2006/relationships/drawing" Target="../drawings/drawing12.xml"/><Relationship Id="rId16" Type="http://schemas.openxmlformats.org/officeDocument/2006/relationships/hyperlink" Target="https://docs.google.com/spreadsheets/d/1WDERN9EQbU9PibZHORM4HobgU3rsrjxQ-fo2TkaQ1As/edit?gid=604858772" TargetMode="External"/><Relationship Id="rId5" Type="http://schemas.openxmlformats.org/officeDocument/2006/relationships/hyperlink" Target="https://docs.google.com/spreadsheets/d/1rNIK4Vhv1kBxK68WpEBaErrZe1BTHkF2ElUiMWtuONs/edit?gid=1057896005" TargetMode="External"/><Relationship Id="rId6" Type="http://schemas.openxmlformats.org/officeDocument/2006/relationships/hyperlink" Target="https://docs.google.com/spreadsheets/d/1MBCgqv-Jh-jfB6gElFpiGFiHtz8-wB5np5F3bJVxrxo/edit?gid=293537015" TargetMode="External"/><Relationship Id="rId7" Type="http://schemas.openxmlformats.org/officeDocument/2006/relationships/hyperlink" Target="https://docs.google.com/spreadsheets/d/1rNIK4Vhv1kBxK68WpEBaErrZe1BTHkF2ElUiMWtuONs/edit?gid=1057896005" TargetMode="External"/><Relationship Id="rId8" Type="http://schemas.openxmlformats.org/officeDocument/2006/relationships/hyperlink" Target="https://docs.google.com/spreadsheets/d/1rNIK4Vhv1kBxK68WpEBaErrZe1BTHkF2ElUiMWtuONs/edit?gid=1057896005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4pa31wVYjA2IvLzSdT_NikWdHKlfZNHugnPfZ-CzzGM/edit?gid=1837052031" TargetMode="External"/><Relationship Id="rId2" Type="http://schemas.openxmlformats.org/officeDocument/2006/relationships/hyperlink" Target="https://docs.google.com/spreadsheets/d/1jfz7Qf4j4ajTW6Rhl1YINlmT1YvO07X4NFlq4IIZukI/edit?gid=0" TargetMode="External"/><Relationship Id="rId3" Type="http://schemas.openxmlformats.org/officeDocument/2006/relationships/hyperlink" Target="https://docs.google.com/spreadsheets/d/1G11id6t2G971TUKT21mANqyLWZwA76goGaCJ7qgzHpI/edit?gid=1170769378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5N6h0rGRUTQshzR8CZTWQLAZyrpQnQf3Z2fLKTgzfU/edit?usp=sharing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FH-WEMRijRPCkm_qLLdan587NI818NHwSFrk4onhK4/edit?gid=0" TargetMode="External"/><Relationship Id="rId2" Type="http://schemas.openxmlformats.org/officeDocument/2006/relationships/hyperlink" Target="https://docs.google.com/spreadsheets/d/1zcdP-VZSWZEMVovI3Z0RZfr8awfwVqQRXPMoJforEJM/edit?gid=0" TargetMode="External"/><Relationship Id="rId3" Type="http://schemas.openxmlformats.org/officeDocument/2006/relationships/hyperlink" Target="https://docs.google.com/spreadsheets/d/18XXRlC88oZCo2kPhyzVRCrm_rTvGjnLsQ3wnScaGrxU/edit?gid=915994930" TargetMode="External"/><Relationship Id="rId4" Type="http://schemas.openxmlformats.org/officeDocument/2006/relationships/hyperlink" Target="https://docs.google.com/spreadsheets/d/1Yz5g2nk7MR4gJAzHxRFXZv7q4VUEm_UXQ-gzcCSjNHw/edit?gid=0" TargetMode="External"/><Relationship Id="rId5" Type="http://schemas.openxmlformats.org/officeDocument/2006/relationships/hyperlink" Target="https://docs.google.com/spreadsheets/d/1cHcmEcAPIKybvaOq072Ega5XuS-POQ2CYRWV2h4y_ro/edit?gid=0" TargetMode="External"/><Relationship Id="rId6" Type="http://schemas.openxmlformats.org/officeDocument/2006/relationships/hyperlink" Target="https://docs.google.com/spreadsheets/d/1bARNvKWcUG0moe2aWN08wIc1vA3YIxzm7q-z5tUzXM0/edit?gid=0" TargetMode="External"/><Relationship Id="rId7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hWAeRkAz6sKuVonrZQ0vAFf8oNwWUNHohjwELAQFEc/edit?gid=0" TargetMode="External"/><Relationship Id="rId2" Type="http://schemas.openxmlformats.org/officeDocument/2006/relationships/hyperlink" Target="https://docs.google.com/spreadsheets/d/1YHzlCLCcVNVVMGlgu4q6_lTwa5H-PeVigLl5qF73Gg8/edit?gid=0" TargetMode="External"/><Relationship Id="rId3" Type="http://schemas.openxmlformats.org/officeDocument/2006/relationships/hyperlink" Target="https://docs.google.com/spreadsheets/d/1eVZMmjU8OExG0xp4UHykWuSVavxPgYxXWdGzWgk-504/edit?gid=0" TargetMode="External"/><Relationship Id="rId4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>
      <c r="A5" s="2" t="s">
        <v>9</v>
      </c>
      <c r="B5" s="3" t="s">
        <v>10</v>
      </c>
      <c r="C5" s="3" t="s">
        <v>11</v>
      </c>
      <c r="D5" s="4">
        <v>46178.0</v>
      </c>
      <c r="E5" s="4">
        <v>46203.0</v>
      </c>
      <c r="F5" s="3" t="s">
        <v>12</v>
      </c>
      <c r="G5" s="2" t="s">
        <v>10</v>
      </c>
      <c r="H5" s="5" t="s">
        <v>13</v>
      </c>
      <c r="I5" s="6" t="s">
        <v>14</v>
      </c>
    </row>
    <row r="6">
      <c r="A6" s="2" t="s">
        <v>15</v>
      </c>
      <c r="B6" s="3" t="s">
        <v>16</v>
      </c>
      <c r="C6" s="3" t="s">
        <v>11</v>
      </c>
      <c r="D6" s="4">
        <v>46178.0</v>
      </c>
      <c r="E6" s="4">
        <v>46203.0</v>
      </c>
      <c r="F6" s="2" t="s">
        <v>12</v>
      </c>
      <c r="G6" s="2" t="s">
        <v>17</v>
      </c>
      <c r="H6" s="2" t="s">
        <v>18</v>
      </c>
      <c r="I6" s="7" t="s">
        <v>14</v>
      </c>
    </row>
    <row r="7">
      <c r="A7" s="2" t="s">
        <v>19</v>
      </c>
      <c r="B7" s="3" t="s">
        <v>20</v>
      </c>
      <c r="C7" s="3" t="s">
        <v>11</v>
      </c>
      <c r="D7" s="4">
        <v>46199.0</v>
      </c>
      <c r="E7" s="4">
        <v>46209.0</v>
      </c>
      <c r="F7" s="2" t="s">
        <v>21</v>
      </c>
      <c r="G7" s="2" t="s">
        <v>22</v>
      </c>
      <c r="H7" s="2" t="s">
        <v>23</v>
      </c>
      <c r="I7" s="2" t="s">
        <v>21</v>
      </c>
    </row>
    <row r="8">
      <c r="A8" s="2" t="s">
        <v>24</v>
      </c>
      <c r="B8" s="3" t="s">
        <v>25</v>
      </c>
      <c r="C8" s="2" t="s">
        <v>11</v>
      </c>
      <c r="D8" s="4">
        <v>46185.0</v>
      </c>
      <c r="E8" s="4">
        <v>46194.0</v>
      </c>
      <c r="F8" s="2" t="s">
        <v>12</v>
      </c>
      <c r="G8" s="2" t="s">
        <v>26</v>
      </c>
      <c r="H8" s="2" t="s">
        <v>27</v>
      </c>
      <c r="I8" s="7" t="s">
        <v>14</v>
      </c>
    </row>
    <row r="9">
      <c r="A9" s="2" t="s">
        <v>28</v>
      </c>
      <c r="B9" s="3" t="s">
        <v>25</v>
      </c>
      <c r="C9" s="3" t="s">
        <v>11</v>
      </c>
      <c r="D9" s="4">
        <v>46185.0</v>
      </c>
      <c r="E9" s="4">
        <v>46194.0</v>
      </c>
      <c r="F9" s="2" t="s">
        <v>12</v>
      </c>
      <c r="G9" s="2" t="s">
        <v>29</v>
      </c>
      <c r="H9" s="2" t="s">
        <v>30</v>
      </c>
      <c r="I9" s="2" t="s">
        <v>21</v>
      </c>
    </row>
    <row r="10">
      <c r="A10" s="2" t="s">
        <v>31</v>
      </c>
      <c r="B10" s="3" t="s">
        <v>32</v>
      </c>
      <c r="C10" s="3" t="s">
        <v>11</v>
      </c>
      <c r="D10" s="4">
        <v>46178.0</v>
      </c>
      <c r="E10" s="4">
        <v>46203.0</v>
      </c>
      <c r="F10" s="2" t="s">
        <v>12</v>
      </c>
      <c r="G10" s="2" t="s">
        <v>33</v>
      </c>
      <c r="H10" s="2" t="s">
        <v>34</v>
      </c>
      <c r="I10" s="2" t="s">
        <v>35</v>
      </c>
    </row>
  </sheetData>
  <hyperlinks>
    <hyperlink r:id="rId1" location="gid=1706408544" ref="I5"/>
    <hyperlink r:id="rId2" location="gid=344990144" ref="I6"/>
    <hyperlink r:id="rId3" location="gid=85509207" ref="I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</row>
    <row r="5">
      <c r="B5" s="2" t="s">
        <v>36</v>
      </c>
      <c r="C5" s="3" t="s">
        <v>37</v>
      </c>
      <c r="D5" s="3" t="s">
        <v>38</v>
      </c>
      <c r="E5" s="4">
        <v>46136.0</v>
      </c>
      <c r="F5" s="4">
        <v>46145.0</v>
      </c>
      <c r="G5" s="2" t="s">
        <v>12</v>
      </c>
      <c r="H5" s="2" t="s">
        <v>39</v>
      </c>
      <c r="I5" s="5" t="s">
        <v>40</v>
      </c>
      <c r="J5" s="7" t="s">
        <v>41</v>
      </c>
    </row>
    <row r="6">
      <c r="B6" s="2" t="s">
        <v>42</v>
      </c>
      <c r="C6" s="3" t="s">
        <v>10</v>
      </c>
      <c r="D6" s="3" t="s">
        <v>11</v>
      </c>
      <c r="E6" s="4">
        <v>46146.0</v>
      </c>
      <c r="F6" s="4">
        <v>46173.0</v>
      </c>
      <c r="G6" s="3" t="s">
        <v>12</v>
      </c>
      <c r="H6" s="2" t="s">
        <v>10</v>
      </c>
      <c r="I6" s="5" t="s">
        <v>13</v>
      </c>
      <c r="J6" s="7" t="s">
        <v>41</v>
      </c>
    </row>
    <row r="7">
      <c r="B7" s="2" t="s">
        <v>43</v>
      </c>
      <c r="C7" s="3" t="s">
        <v>44</v>
      </c>
      <c r="D7" s="3" t="s">
        <v>11</v>
      </c>
      <c r="E7" s="4">
        <v>46146.0</v>
      </c>
      <c r="F7" s="4">
        <v>46173.0</v>
      </c>
      <c r="G7" s="2" t="s">
        <v>12</v>
      </c>
      <c r="H7" s="2" t="s">
        <v>17</v>
      </c>
      <c r="I7" s="2" t="s">
        <v>45</v>
      </c>
      <c r="J7" s="7" t="s">
        <v>41</v>
      </c>
    </row>
    <row r="8">
      <c r="B8" s="2" t="s">
        <v>46</v>
      </c>
      <c r="C8" s="3" t="s">
        <v>47</v>
      </c>
      <c r="D8" s="3" t="s">
        <v>11</v>
      </c>
      <c r="E8" s="4">
        <v>46146.0</v>
      </c>
      <c r="F8" s="4">
        <v>46160.0</v>
      </c>
      <c r="G8" s="2" t="s">
        <v>12</v>
      </c>
      <c r="H8" s="2" t="s">
        <v>48</v>
      </c>
      <c r="I8" s="2" t="s">
        <v>49</v>
      </c>
      <c r="J8" s="7" t="s">
        <v>41</v>
      </c>
    </row>
    <row r="9">
      <c r="B9" s="2" t="s">
        <v>50</v>
      </c>
      <c r="C9" s="3" t="s">
        <v>25</v>
      </c>
      <c r="D9" s="2" t="s">
        <v>11</v>
      </c>
      <c r="E9" s="4">
        <v>46156.0</v>
      </c>
      <c r="F9" s="4">
        <v>46163.0</v>
      </c>
      <c r="G9" s="2" t="s">
        <v>12</v>
      </c>
      <c r="H9" s="2" t="s">
        <v>51</v>
      </c>
      <c r="I9" s="2" t="s">
        <v>52</v>
      </c>
      <c r="J9" s="2" t="s">
        <v>21</v>
      </c>
    </row>
    <row r="10">
      <c r="B10" s="2" t="s">
        <v>53</v>
      </c>
      <c r="C10" s="3" t="s">
        <v>20</v>
      </c>
      <c r="D10" s="3" t="s">
        <v>11</v>
      </c>
      <c r="E10" s="4">
        <v>46160.0</v>
      </c>
      <c r="F10" s="4">
        <v>46168.0</v>
      </c>
      <c r="G10" s="2" t="s">
        <v>21</v>
      </c>
      <c r="H10" s="2" t="s">
        <v>22</v>
      </c>
      <c r="I10" s="2" t="s">
        <v>54</v>
      </c>
      <c r="J10" s="2" t="s">
        <v>21</v>
      </c>
    </row>
    <row r="11">
      <c r="B11" s="2" t="s">
        <v>55</v>
      </c>
      <c r="C11" s="3" t="s">
        <v>20</v>
      </c>
      <c r="D11" s="3" t="s">
        <v>38</v>
      </c>
      <c r="E11" s="4">
        <v>46162.0</v>
      </c>
      <c r="F11" s="4">
        <v>46168.0</v>
      </c>
      <c r="G11" s="9"/>
      <c r="H11" s="2" t="s">
        <v>56</v>
      </c>
      <c r="I11" s="2" t="s">
        <v>57</v>
      </c>
      <c r="J11" s="2" t="s">
        <v>12</v>
      </c>
    </row>
    <row r="12">
      <c r="B12" s="10"/>
      <c r="C12" s="10"/>
      <c r="D12" s="10"/>
      <c r="E12" s="10"/>
      <c r="F12" s="10"/>
      <c r="G12" s="10"/>
      <c r="H12" s="10"/>
      <c r="I12" s="10"/>
      <c r="J12" s="10"/>
    </row>
    <row r="13">
      <c r="B13" s="11" t="s">
        <v>58</v>
      </c>
      <c r="C13" s="12" t="s">
        <v>25</v>
      </c>
      <c r="D13" s="12" t="s">
        <v>59</v>
      </c>
      <c r="E13" s="12" t="s">
        <v>21</v>
      </c>
      <c r="F13" s="12" t="s">
        <v>21</v>
      </c>
      <c r="G13" s="13"/>
      <c r="H13" s="11" t="s">
        <v>60</v>
      </c>
      <c r="I13" s="11" t="s">
        <v>61</v>
      </c>
      <c r="J13" s="13"/>
    </row>
  </sheetData>
  <hyperlinks>
    <hyperlink r:id="rId1" location="gid=0" ref="J5"/>
    <hyperlink r:id="rId2" location="gid=1740812233" ref="J6"/>
    <hyperlink r:id="rId3" location="gid=1539648468" ref="J7"/>
    <hyperlink r:id="rId4" location="gid=496772860" ref="J8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</row>
    <row r="3">
      <c r="A3" s="2" t="s">
        <v>62</v>
      </c>
      <c r="B3" s="3" t="s">
        <v>25</v>
      </c>
      <c r="C3" s="3" t="s">
        <v>59</v>
      </c>
      <c r="D3" s="4">
        <v>46107.0</v>
      </c>
      <c r="E3" s="4">
        <f>D3+11</f>
        <v>46118</v>
      </c>
      <c r="F3" s="2" t="s">
        <v>12</v>
      </c>
      <c r="G3" s="2" t="s">
        <v>63</v>
      </c>
      <c r="H3" s="2" t="s">
        <v>64</v>
      </c>
      <c r="I3" s="7" t="s">
        <v>65</v>
      </c>
    </row>
    <row r="4">
      <c r="A4" s="2" t="s">
        <v>66</v>
      </c>
      <c r="B4" s="3" t="s">
        <v>10</v>
      </c>
      <c r="C4" s="3" t="s">
        <v>11</v>
      </c>
      <c r="D4" s="4">
        <v>46118.0</v>
      </c>
      <c r="E4" s="3" t="s">
        <v>10</v>
      </c>
      <c r="F4" s="3" t="s">
        <v>12</v>
      </c>
      <c r="G4" s="2" t="s">
        <v>10</v>
      </c>
      <c r="H4" s="2" t="s">
        <v>10</v>
      </c>
      <c r="I4" s="7" t="s">
        <v>65</v>
      </c>
    </row>
    <row r="5">
      <c r="A5" s="2" t="s">
        <v>67</v>
      </c>
      <c r="B5" s="3" t="s">
        <v>20</v>
      </c>
      <c r="C5" s="3" t="s">
        <v>11</v>
      </c>
      <c r="D5" s="4">
        <v>46118.0</v>
      </c>
      <c r="E5" s="4">
        <v>46146.0</v>
      </c>
      <c r="F5" s="2" t="s">
        <v>12</v>
      </c>
      <c r="G5" s="2" t="s">
        <v>17</v>
      </c>
      <c r="H5" s="2" t="s">
        <v>68</v>
      </c>
      <c r="I5" s="7" t="s">
        <v>69</v>
      </c>
    </row>
    <row r="6">
      <c r="A6" s="2" t="s">
        <v>58</v>
      </c>
      <c r="B6" s="3" t="s">
        <v>25</v>
      </c>
      <c r="C6" s="3" t="s">
        <v>59</v>
      </c>
      <c r="D6" s="4">
        <v>46118.0</v>
      </c>
      <c r="E6" s="4">
        <v>46137.0</v>
      </c>
      <c r="F6" s="2" t="s">
        <v>70</v>
      </c>
      <c r="G6" s="2" t="s">
        <v>60</v>
      </c>
      <c r="H6" s="2" t="s">
        <v>64</v>
      </c>
      <c r="I6" s="7" t="s">
        <v>65</v>
      </c>
    </row>
    <row r="7">
      <c r="A7" s="2" t="s">
        <v>71</v>
      </c>
      <c r="B7" s="3" t="s">
        <v>25</v>
      </c>
      <c r="C7" s="3" t="s">
        <v>11</v>
      </c>
      <c r="D7" s="4">
        <v>46118.0</v>
      </c>
      <c r="E7" s="4">
        <v>46142.0</v>
      </c>
      <c r="F7" s="2" t="s">
        <v>12</v>
      </c>
      <c r="G7" s="2" t="s">
        <v>72</v>
      </c>
      <c r="H7" s="2" t="s">
        <v>73</v>
      </c>
      <c r="I7" s="2" t="s">
        <v>21</v>
      </c>
    </row>
    <row r="8">
      <c r="A8" s="2" t="s">
        <v>74</v>
      </c>
      <c r="B8" s="3" t="s">
        <v>20</v>
      </c>
      <c r="C8" s="3" t="s">
        <v>11</v>
      </c>
      <c r="D8" s="4">
        <v>46136.0</v>
      </c>
      <c r="E8" s="4">
        <v>46143.0</v>
      </c>
      <c r="F8" s="2" t="s">
        <v>21</v>
      </c>
      <c r="G8" s="2" t="s">
        <v>22</v>
      </c>
      <c r="H8" s="2" t="s">
        <v>75</v>
      </c>
      <c r="I8" s="2" t="s">
        <v>21</v>
      </c>
    </row>
  </sheetData>
  <hyperlinks>
    <hyperlink r:id="rId1" location="gid=976954273" ref="I3"/>
    <hyperlink r:id="rId2" location="gid=976954273" ref="I4"/>
    <hyperlink r:id="rId3" location="gid=323698080" ref="I5"/>
    <hyperlink r:id="rId4" location="gid=837122927" ref="I6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</row>
    <row r="5">
      <c r="B5" s="14" t="s">
        <v>76</v>
      </c>
      <c r="C5" s="15" t="s">
        <v>20</v>
      </c>
      <c r="D5" s="15" t="s">
        <v>11</v>
      </c>
      <c r="E5" s="16">
        <v>46071.0</v>
      </c>
      <c r="F5" s="16">
        <v>46100.0</v>
      </c>
      <c r="G5" s="17" t="s">
        <v>77</v>
      </c>
      <c r="H5" s="14" t="s">
        <v>78</v>
      </c>
      <c r="I5" s="14" t="s">
        <v>79</v>
      </c>
      <c r="J5" s="18" t="s">
        <v>80</v>
      </c>
    </row>
    <row r="6">
      <c r="B6" s="19" t="s">
        <v>81</v>
      </c>
      <c r="C6" s="20" t="s">
        <v>25</v>
      </c>
      <c r="D6" s="20" t="s">
        <v>11</v>
      </c>
      <c r="E6" s="21">
        <v>46083.0</v>
      </c>
      <c r="F6" s="21">
        <v>46089.0</v>
      </c>
      <c r="G6" s="20" t="s">
        <v>12</v>
      </c>
      <c r="H6" s="19" t="s">
        <v>82</v>
      </c>
      <c r="I6" s="19" t="s">
        <v>64</v>
      </c>
      <c r="J6" s="22"/>
    </row>
    <row r="7">
      <c r="B7" s="19" t="s">
        <v>83</v>
      </c>
      <c r="C7" s="20" t="s">
        <v>25</v>
      </c>
      <c r="D7" s="20" t="s">
        <v>11</v>
      </c>
      <c r="E7" s="21">
        <f>F7-15</f>
        <v>46087</v>
      </c>
      <c r="F7" s="21">
        <v>46102.0</v>
      </c>
      <c r="G7" s="20" t="s">
        <v>12</v>
      </c>
      <c r="H7" s="19" t="s">
        <v>84</v>
      </c>
      <c r="I7" s="19" t="s">
        <v>85</v>
      </c>
      <c r="J7" s="22"/>
    </row>
    <row r="8">
      <c r="B8" s="2" t="s">
        <v>86</v>
      </c>
      <c r="C8" s="3" t="s">
        <v>25</v>
      </c>
      <c r="D8" s="3" t="s">
        <v>11</v>
      </c>
      <c r="E8" s="4">
        <v>46101.0</v>
      </c>
      <c r="F8" s="4">
        <v>46108.0</v>
      </c>
      <c r="G8" s="3" t="s">
        <v>12</v>
      </c>
      <c r="H8" s="2" t="s">
        <v>87</v>
      </c>
      <c r="I8" s="2" t="s">
        <v>21</v>
      </c>
      <c r="J8" s="9"/>
    </row>
    <row r="9">
      <c r="B9" s="19" t="s">
        <v>88</v>
      </c>
      <c r="C9" s="20" t="s">
        <v>25</v>
      </c>
      <c r="D9" s="20" t="s">
        <v>11</v>
      </c>
      <c r="E9" s="21">
        <v>46104.0</v>
      </c>
      <c r="F9" s="21">
        <f>E9+14</f>
        <v>46118</v>
      </c>
      <c r="G9" s="20" t="s">
        <v>12</v>
      </c>
      <c r="H9" s="19" t="s">
        <v>89</v>
      </c>
      <c r="I9" s="19" t="s">
        <v>90</v>
      </c>
      <c r="J9" s="22"/>
    </row>
    <row r="10">
      <c r="B10" s="2" t="s">
        <v>91</v>
      </c>
      <c r="C10" s="3" t="s">
        <v>92</v>
      </c>
      <c r="D10" s="3" t="s">
        <v>11</v>
      </c>
      <c r="E10" s="4">
        <v>46104.0</v>
      </c>
      <c r="F10" s="4">
        <v>46132.0</v>
      </c>
      <c r="G10" s="3" t="s">
        <v>12</v>
      </c>
      <c r="H10" s="2" t="s">
        <v>93</v>
      </c>
      <c r="I10" s="2" t="s">
        <v>90</v>
      </c>
      <c r="J10" s="9"/>
    </row>
    <row r="11">
      <c r="B11" s="2" t="s">
        <v>74</v>
      </c>
      <c r="C11" s="3" t="s">
        <v>20</v>
      </c>
      <c r="D11" s="3" t="s">
        <v>11</v>
      </c>
      <c r="E11" s="4">
        <v>46106.0</v>
      </c>
      <c r="F11" s="4">
        <v>46114.0</v>
      </c>
      <c r="G11" s="2" t="s">
        <v>21</v>
      </c>
      <c r="H11" s="2" t="s">
        <v>22</v>
      </c>
      <c r="I11" s="2" t="s">
        <v>75</v>
      </c>
      <c r="J11" s="9"/>
    </row>
  </sheetData>
  <hyperlinks>
    <hyperlink r:id="rId1" location="gid=1587396616" ref="G5"/>
    <hyperlink r:id="rId2" location="gid=1587396616" ref="J5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</row>
    <row r="3">
      <c r="B3" s="2" t="s">
        <v>94</v>
      </c>
      <c r="C3" s="3" t="s">
        <v>20</v>
      </c>
      <c r="D3" s="3" t="s">
        <v>11</v>
      </c>
      <c r="E3" s="4">
        <v>46041.0</v>
      </c>
      <c r="F3" s="4">
        <v>46072.0</v>
      </c>
      <c r="G3" s="3" t="s">
        <v>12</v>
      </c>
      <c r="H3" s="2" t="s">
        <v>95</v>
      </c>
      <c r="I3" s="2" t="s">
        <v>96</v>
      </c>
      <c r="J3" s="7" t="s">
        <v>80</v>
      </c>
    </row>
    <row r="4">
      <c r="B4" s="2" t="s">
        <v>97</v>
      </c>
      <c r="C4" s="3" t="s">
        <v>25</v>
      </c>
      <c r="D4" s="3" t="s">
        <v>98</v>
      </c>
      <c r="E4" s="4">
        <v>46055.0</v>
      </c>
      <c r="F4" s="4">
        <v>46067.0</v>
      </c>
      <c r="G4" s="3" t="s">
        <v>12</v>
      </c>
      <c r="H4" s="2" t="s">
        <v>99</v>
      </c>
      <c r="I4" s="2" t="s">
        <v>100</v>
      </c>
      <c r="J4" s="7" t="s">
        <v>69</v>
      </c>
    </row>
    <row r="5">
      <c r="B5" s="2" t="s">
        <v>101</v>
      </c>
      <c r="C5" s="3" t="s">
        <v>20</v>
      </c>
      <c r="D5" s="3" t="s">
        <v>11</v>
      </c>
      <c r="E5" s="4">
        <f>F3</f>
        <v>46072</v>
      </c>
      <c r="F5" s="4">
        <v>46100.0</v>
      </c>
      <c r="G5" s="2" t="s">
        <v>102</v>
      </c>
      <c r="H5" s="2" t="s">
        <v>103</v>
      </c>
      <c r="I5" s="2" t="s">
        <v>79</v>
      </c>
      <c r="J5" s="7" t="s">
        <v>80</v>
      </c>
    </row>
    <row r="6">
      <c r="B6" s="2" t="s">
        <v>104</v>
      </c>
      <c r="C6" s="3" t="s">
        <v>25</v>
      </c>
      <c r="D6" s="3" t="s">
        <v>98</v>
      </c>
      <c r="E6" s="4">
        <v>46076.0</v>
      </c>
      <c r="F6" s="4">
        <v>46085.0</v>
      </c>
      <c r="G6" s="2" t="s">
        <v>12</v>
      </c>
      <c r="H6" s="2" t="s">
        <v>105</v>
      </c>
      <c r="I6" s="2" t="s">
        <v>106</v>
      </c>
      <c r="J6" s="9"/>
    </row>
  </sheetData>
  <hyperlinks>
    <hyperlink r:id="rId1" location="gid=1587396616" ref="J3"/>
    <hyperlink r:id="rId2" location="gid=2117247114" ref="J4"/>
    <hyperlink r:id="rId3" location="gid=1587396616" ref="J5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</row>
    <row r="4">
      <c r="B4" s="23" t="s">
        <v>19</v>
      </c>
      <c r="C4" s="23" t="s">
        <v>20</v>
      </c>
      <c r="D4" s="23" t="s">
        <v>11</v>
      </c>
      <c r="E4" s="24">
        <v>46017.0</v>
      </c>
      <c r="F4" s="24">
        <v>46027.0</v>
      </c>
      <c r="G4" s="25" t="s">
        <v>107</v>
      </c>
      <c r="H4" s="25" t="s">
        <v>108</v>
      </c>
      <c r="I4" s="25" t="s">
        <v>75</v>
      </c>
      <c r="J4" s="26" t="s">
        <v>109</v>
      </c>
    </row>
    <row r="5">
      <c r="B5" s="2" t="s">
        <v>110</v>
      </c>
      <c r="C5" s="3" t="s">
        <v>25</v>
      </c>
      <c r="D5" s="3" t="s">
        <v>11</v>
      </c>
      <c r="E5" s="4">
        <v>46017.0</v>
      </c>
      <c r="F5" s="4">
        <v>46027.0</v>
      </c>
      <c r="G5" s="3" t="s">
        <v>12</v>
      </c>
      <c r="H5" s="2" t="s">
        <v>111</v>
      </c>
      <c r="I5" s="2" t="s">
        <v>64</v>
      </c>
      <c r="J5" s="7" t="s">
        <v>112</v>
      </c>
    </row>
    <row r="6">
      <c r="B6" s="2" t="s">
        <v>113</v>
      </c>
      <c r="C6" s="3" t="s">
        <v>25</v>
      </c>
      <c r="D6" s="3" t="s">
        <v>98</v>
      </c>
      <c r="E6" s="4">
        <f>F4</f>
        <v>46027</v>
      </c>
      <c r="F6" s="4">
        <f>E6+6</f>
        <v>46033</v>
      </c>
      <c r="G6" s="3" t="s">
        <v>12</v>
      </c>
      <c r="H6" s="2" t="s">
        <v>108</v>
      </c>
      <c r="I6" s="2" t="s">
        <v>114</v>
      </c>
      <c r="J6" s="7" t="s">
        <v>112</v>
      </c>
    </row>
    <row r="7">
      <c r="B7" s="2" t="s">
        <v>115</v>
      </c>
      <c r="C7" s="3" t="s">
        <v>10</v>
      </c>
      <c r="D7" s="3" t="s">
        <v>11</v>
      </c>
      <c r="E7" s="4">
        <v>46027.0</v>
      </c>
      <c r="F7" s="4">
        <v>46027.0</v>
      </c>
      <c r="G7" s="3" t="s">
        <v>10</v>
      </c>
      <c r="H7" s="3" t="s">
        <v>10</v>
      </c>
      <c r="I7" s="3" t="s">
        <v>10</v>
      </c>
      <c r="J7" s="7" t="s">
        <v>112</v>
      </c>
    </row>
    <row r="8">
      <c r="B8" s="2" t="s">
        <v>116</v>
      </c>
      <c r="C8" s="3" t="s">
        <v>20</v>
      </c>
      <c r="D8" s="3" t="s">
        <v>11</v>
      </c>
      <c r="E8" s="4">
        <v>46027.0</v>
      </c>
      <c r="F8" s="4">
        <f>E8+7</f>
        <v>46034</v>
      </c>
      <c r="G8" s="3" t="s">
        <v>12</v>
      </c>
      <c r="H8" s="2" t="s">
        <v>117</v>
      </c>
      <c r="I8" s="2" t="s">
        <v>118</v>
      </c>
      <c r="J8" s="7" t="s">
        <v>112</v>
      </c>
    </row>
    <row r="9">
      <c r="B9" s="2" t="s">
        <v>119</v>
      </c>
      <c r="C9" s="3" t="s">
        <v>25</v>
      </c>
      <c r="D9" s="3" t="s">
        <v>11</v>
      </c>
      <c r="E9" s="4">
        <v>46027.0</v>
      </c>
      <c r="F9" s="4">
        <f>E9+14</f>
        <v>46041</v>
      </c>
      <c r="G9" s="3" t="s">
        <v>12</v>
      </c>
      <c r="H9" s="2" t="s">
        <v>120</v>
      </c>
      <c r="I9" s="2" t="s">
        <v>121</v>
      </c>
      <c r="J9" s="7" t="s">
        <v>112</v>
      </c>
    </row>
    <row r="10">
      <c r="B10" s="27" t="s">
        <v>122</v>
      </c>
      <c r="C10" s="3" t="s">
        <v>20</v>
      </c>
      <c r="D10" s="3" t="s">
        <v>11</v>
      </c>
      <c r="E10" s="28">
        <f>F8</f>
        <v>46034</v>
      </c>
      <c r="F10" s="28">
        <f>E10+7</f>
        <v>46041</v>
      </c>
      <c r="G10" s="3" t="s">
        <v>12</v>
      </c>
      <c r="H10" s="27" t="s">
        <v>123</v>
      </c>
      <c r="I10" s="2" t="s">
        <v>118</v>
      </c>
      <c r="J10" s="7" t="s">
        <v>112</v>
      </c>
    </row>
    <row r="11">
      <c r="B11" s="27" t="s">
        <v>124</v>
      </c>
      <c r="C11" s="3" t="s">
        <v>20</v>
      </c>
      <c r="D11" s="3" t="s">
        <v>11</v>
      </c>
      <c r="E11" s="28">
        <f>F10</f>
        <v>46041</v>
      </c>
      <c r="F11" s="28">
        <v>46069.0</v>
      </c>
      <c r="G11" s="3" t="s">
        <v>12</v>
      </c>
      <c r="H11" s="27" t="s">
        <v>125</v>
      </c>
      <c r="I11" s="2" t="s">
        <v>118</v>
      </c>
      <c r="J11" s="9"/>
    </row>
    <row r="12">
      <c r="B12" s="27" t="s">
        <v>126</v>
      </c>
      <c r="C12" s="3" t="s">
        <v>92</v>
      </c>
      <c r="D12" s="3" t="s">
        <v>11</v>
      </c>
      <c r="E12" s="28">
        <f>E11</f>
        <v>46041</v>
      </c>
      <c r="F12" s="29" t="s">
        <v>127</v>
      </c>
      <c r="G12" s="3" t="s">
        <v>12</v>
      </c>
      <c r="H12" s="2" t="s">
        <v>128</v>
      </c>
      <c r="I12" s="2" t="s">
        <v>90</v>
      </c>
      <c r="J12" s="9"/>
    </row>
    <row r="13">
      <c r="B13" s="27" t="s">
        <v>129</v>
      </c>
      <c r="C13" s="3" t="s">
        <v>20</v>
      </c>
      <c r="D13" s="3" t="s">
        <v>11</v>
      </c>
      <c r="E13" s="28">
        <v>46045.0</v>
      </c>
      <c r="F13" s="28">
        <v>46055.0</v>
      </c>
      <c r="G13" s="3" t="s">
        <v>21</v>
      </c>
      <c r="H13" s="2" t="s">
        <v>108</v>
      </c>
      <c r="I13" s="2" t="s">
        <v>75</v>
      </c>
      <c r="J13" s="7" t="s">
        <v>130</v>
      </c>
    </row>
    <row r="14">
      <c r="B14" s="10" t="s">
        <v>131</v>
      </c>
      <c r="C14" s="10"/>
      <c r="D14" s="10"/>
      <c r="E14" s="10"/>
      <c r="F14" s="10"/>
      <c r="G14" s="10"/>
      <c r="H14" s="10"/>
      <c r="I14" s="10"/>
      <c r="J14" s="10"/>
    </row>
  </sheetData>
  <hyperlinks>
    <hyperlink r:id="rId1" location="gid=0" ref="J4"/>
    <hyperlink r:id="rId2" location="gid=0" ref="J5"/>
    <hyperlink r:id="rId3" location="gid=0" ref="J6"/>
    <hyperlink r:id="rId4" location="gid=0" ref="J7"/>
    <hyperlink r:id="rId5" location="gid=0" ref="J8"/>
    <hyperlink r:id="rId6" location="gid=0" ref="J9"/>
    <hyperlink r:id="rId7" location="gid=0" ref="J10"/>
    <hyperlink r:id="rId8" location="gid=0" ref="J13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0" t="s">
        <v>0</v>
      </c>
      <c r="C3" s="8" t="s">
        <v>1</v>
      </c>
      <c r="D3" s="8" t="s">
        <v>2</v>
      </c>
      <c r="E3" s="8" t="s">
        <v>3</v>
      </c>
      <c r="F3" s="8" t="s">
        <v>132</v>
      </c>
      <c r="G3" s="8" t="s">
        <v>4</v>
      </c>
      <c r="H3" s="8" t="s">
        <v>132</v>
      </c>
      <c r="I3" s="8" t="s">
        <v>5</v>
      </c>
      <c r="J3" s="8" t="s">
        <v>6</v>
      </c>
      <c r="K3" s="8" t="s">
        <v>7</v>
      </c>
      <c r="L3" s="8" t="s">
        <v>8</v>
      </c>
    </row>
    <row r="4">
      <c r="B4" s="31" t="s">
        <v>133</v>
      </c>
      <c r="C4" s="23" t="s">
        <v>134</v>
      </c>
      <c r="D4" s="31" t="s">
        <v>98</v>
      </c>
      <c r="E4" s="24">
        <v>45986.0</v>
      </c>
      <c r="F4" s="32">
        <v>0.5</v>
      </c>
      <c r="G4" s="24">
        <v>45993.0</v>
      </c>
      <c r="H4" s="32">
        <v>0.9993055555555556</v>
      </c>
      <c r="I4" s="25" t="s">
        <v>12</v>
      </c>
      <c r="J4" s="25" t="s">
        <v>135</v>
      </c>
      <c r="K4" s="25" t="s">
        <v>118</v>
      </c>
      <c r="L4" s="26" t="s">
        <v>136</v>
      </c>
    </row>
    <row r="5">
      <c r="B5" s="31" t="s">
        <v>137</v>
      </c>
      <c r="C5" s="23" t="s">
        <v>134</v>
      </c>
      <c r="D5" s="31" t="s">
        <v>11</v>
      </c>
      <c r="E5" s="24">
        <v>45992.0</v>
      </c>
      <c r="F5" s="32">
        <v>0.5</v>
      </c>
      <c r="G5" s="24">
        <v>45994.0</v>
      </c>
      <c r="H5" s="32">
        <v>0.5</v>
      </c>
      <c r="I5" s="25" t="s">
        <v>138</v>
      </c>
      <c r="J5" s="25" t="s">
        <v>139</v>
      </c>
      <c r="K5" s="25" t="s">
        <v>75</v>
      </c>
      <c r="L5" s="26" t="s">
        <v>136</v>
      </c>
    </row>
    <row r="6">
      <c r="B6" s="33" t="s">
        <v>115</v>
      </c>
      <c r="C6" s="3" t="s">
        <v>10</v>
      </c>
      <c r="D6" s="34" t="s">
        <v>11</v>
      </c>
      <c r="E6" s="4">
        <v>45994.0</v>
      </c>
      <c r="F6" s="35">
        <v>0.5</v>
      </c>
      <c r="G6" s="4">
        <v>45994.0</v>
      </c>
      <c r="H6" s="35">
        <v>0.5</v>
      </c>
      <c r="I6" s="3" t="s">
        <v>12</v>
      </c>
      <c r="J6" s="2" t="s">
        <v>108</v>
      </c>
      <c r="K6" s="2" t="s">
        <v>140</v>
      </c>
      <c r="L6" s="7" t="s">
        <v>141</v>
      </c>
    </row>
    <row r="7">
      <c r="B7" s="33" t="s">
        <v>142</v>
      </c>
      <c r="C7" s="3" t="s">
        <v>134</v>
      </c>
      <c r="D7" s="34" t="s">
        <v>143</v>
      </c>
      <c r="E7" s="4">
        <f>G5</f>
        <v>45994</v>
      </c>
      <c r="F7" s="35">
        <v>0.5</v>
      </c>
      <c r="G7" s="4">
        <v>46382.0</v>
      </c>
      <c r="H7" s="35">
        <v>0.5</v>
      </c>
      <c r="I7" s="3" t="s">
        <v>12</v>
      </c>
      <c r="J7" s="2" t="s">
        <v>144</v>
      </c>
      <c r="K7" s="2" t="s">
        <v>145</v>
      </c>
      <c r="L7" s="7" t="s">
        <v>141</v>
      </c>
    </row>
    <row r="8">
      <c r="B8" s="33" t="s">
        <v>146</v>
      </c>
      <c r="C8" s="3" t="s">
        <v>147</v>
      </c>
      <c r="D8" s="34" t="s">
        <v>11</v>
      </c>
      <c r="E8" s="4">
        <v>46006.0</v>
      </c>
      <c r="F8" s="35">
        <v>0.5</v>
      </c>
      <c r="G8" s="4">
        <v>46023.0</v>
      </c>
      <c r="H8" s="35">
        <v>0.5</v>
      </c>
      <c r="I8" s="3" t="s">
        <v>12</v>
      </c>
      <c r="J8" s="2" t="s">
        <v>148</v>
      </c>
      <c r="K8" s="2" t="s">
        <v>149</v>
      </c>
      <c r="L8" s="7" t="s">
        <v>141</v>
      </c>
    </row>
    <row r="9">
      <c r="B9" s="33" t="s">
        <v>150</v>
      </c>
      <c r="C9" s="3" t="s">
        <v>147</v>
      </c>
      <c r="D9" s="34" t="s">
        <v>11</v>
      </c>
      <c r="E9" s="4">
        <v>45994.0</v>
      </c>
      <c r="F9" s="35">
        <v>0.5</v>
      </c>
      <c r="G9" s="4">
        <v>46027.0</v>
      </c>
      <c r="H9" s="35">
        <v>0.5</v>
      </c>
      <c r="I9" s="3" t="s">
        <v>12</v>
      </c>
      <c r="J9" s="2" t="s">
        <v>151</v>
      </c>
      <c r="K9" s="2" t="s">
        <v>90</v>
      </c>
      <c r="L9" s="7" t="s">
        <v>141</v>
      </c>
    </row>
    <row r="10">
      <c r="B10" s="36" t="s">
        <v>152</v>
      </c>
      <c r="C10" s="29" t="s">
        <v>134</v>
      </c>
      <c r="D10" s="37" t="s">
        <v>11</v>
      </c>
      <c r="E10" s="28">
        <v>46017.0</v>
      </c>
      <c r="F10" s="38">
        <v>0.5</v>
      </c>
      <c r="G10" s="28">
        <v>46027.0</v>
      </c>
      <c r="H10" s="38">
        <v>0.5</v>
      </c>
      <c r="I10" s="29" t="s">
        <v>21</v>
      </c>
      <c r="J10" s="27" t="s">
        <v>108</v>
      </c>
      <c r="K10" s="27" t="s">
        <v>75</v>
      </c>
      <c r="L10" s="39" t="s">
        <v>153</v>
      </c>
    </row>
  </sheetData>
  <hyperlinks>
    <hyperlink r:id="rId1" location="gid=1003003133" ref="L4"/>
    <hyperlink r:id="rId2" location="gid=1003003133" ref="L5"/>
    <hyperlink r:id="rId3" location="gid=620341948" ref="L6"/>
    <hyperlink r:id="rId4" location="gid=620341948" ref="L7"/>
    <hyperlink r:id="rId5" location="gid=620341948" ref="L8"/>
    <hyperlink r:id="rId6" location="gid=620341948" ref="L9"/>
    <hyperlink r:id="rId7" ref="L10"/>
  </hyperlinks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40" t="s">
        <v>154</v>
      </c>
      <c r="B3" s="40" t="s">
        <v>155</v>
      </c>
      <c r="C3" s="40" t="s">
        <v>2</v>
      </c>
      <c r="D3" s="40" t="s">
        <v>3</v>
      </c>
      <c r="E3" s="40" t="s">
        <v>132</v>
      </c>
      <c r="F3" s="40" t="s">
        <v>4</v>
      </c>
      <c r="G3" s="40" t="s">
        <v>132</v>
      </c>
      <c r="H3" s="40" t="s">
        <v>156</v>
      </c>
      <c r="I3" s="40" t="s">
        <v>157</v>
      </c>
      <c r="J3" s="40" t="s">
        <v>158</v>
      </c>
      <c r="K3" s="40" t="s">
        <v>159</v>
      </c>
      <c r="L3" s="40" t="s">
        <v>160</v>
      </c>
      <c r="M3" s="40" t="s">
        <v>161</v>
      </c>
    </row>
    <row r="4">
      <c r="A4" s="41" t="s">
        <v>129</v>
      </c>
      <c r="B4" s="34" t="s">
        <v>10</v>
      </c>
      <c r="C4" s="34" t="s">
        <v>162</v>
      </c>
      <c r="D4" s="42">
        <v>45956.0</v>
      </c>
      <c r="E4" s="43">
        <v>0.5</v>
      </c>
      <c r="F4" s="42">
        <v>45964.0</v>
      </c>
      <c r="G4" s="43">
        <v>0.5</v>
      </c>
      <c r="H4" s="37" t="s">
        <v>163</v>
      </c>
      <c r="I4" s="37" t="s">
        <v>164</v>
      </c>
      <c r="J4" s="37" t="s">
        <v>165</v>
      </c>
      <c r="K4" s="37" t="s">
        <v>10</v>
      </c>
      <c r="L4" s="37" t="s">
        <v>21</v>
      </c>
      <c r="M4" s="37" t="s">
        <v>166</v>
      </c>
    </row>
    <row r="5">
      <c r="A5" s="44" t="s">
        <v>167</v>
      </c>
      <c r="B5" s="33" t="s">
        <v>168</v>
      </c>
      <c r="C5" s="34" t="s">
        <v>162</v>
      </c>
      <c r="D5" s="42">
        <f t="shared" ref="D5:D6" si="1">F4</f>
        <v>45964</v>
      </c>
      <c r="E5" s="43">
        <v>0.5</v>
      </c>
      <c r="F5" s="42">
        <v>45968.0</v>
      </c>
      <c r="G5" s="43">
        <v>0.5</v>
      </c>
      <c r="H5" s="37" t="s">
        <v>169</v>
      </c>
      <c r="I5" s="37" t="s">
        <v>170</v>
      </c>
      <c r="J5" s="37" t="s">
        <v>12</v>
      </c>
      <c r="K5" s="37" t="s">
        <v>10</v>
      </c>
      <c r="L5" s="37" t="s">
        <v>21</v>
      </c>
      <c r="M5" s="37" t="s">
        <v>171</v>
      </c>
    </row>
    <row r="6">
      <c r="A6" s="45" t="s">
        <v>172</v>
      </c>
      <c r="B6" s="33" t="s">
        <v>173</v>
      </c>
      <c r="C6" s="34" t="s">
        <v>162</v>
      </c>
      <c r="D6" s="42">
        <f t="shared" si="1"/>
        <v>45968</v>
      </c>
      <c r="E6" s="43">
        <v>0.5</v>
      </c>
      <c r="F6" s="42">
        <v>45974.0</v>
      </c>
      <c r="G6" s="43">
        <v>0.49930555555555556</v>
      </c>
      <c r="H6" s="36" t="s">
        <v>174</v>
      </c>
      <c r="I6" s="37" t="s">
        <v>175</v>
      </c>
      <c r="J6" s="37" t="s">
        <v>176</v>
      </c>
      <c r="K6" s="36" t="s">
        <v>177</v>
      </c>
      <c r="L6" s="37" t="s">
        <v>21</v>
      </c>
      <c r="M6" s="37" t="s">
        <v>178</v>
      </c>
    </row>
    <row r="7">
      <c r="A7" s="41" t="s">
        <v>167</v>
      </c>
      <c r="B7" s="46" t="s">
        <v>179</v>
      </c>
      <c r="C7" s="34" t="s">
        <v>162</v>
      </c>
      <c r="D7" s="42">
        <v>45974.0</v>
      </c>
      <c r="E7" s="43">
        <v>0.5</v>
      </c>
      <c r="F7" s="42">
        <v>45981.0</v>
      </c>
      <c r="G7" s="43">
        <v>0.9166666666666666</v>
      </c>
      <c r="H7" s="37" t="s">
        <v>180</v>
      </c>
      <c r="I7" s="37" t="s">
        <v>170</v>
      </c>
      <c r="J7" s="37" t="s">
        <v>12</v>
      </c>
      <c r="K7" s="37" t="s">
        <v>10</v>
      </c>
      <c r="L7" s="37" t="s">
        <v>21</v>
      </c>
      <c r="M7" s="37" t="s">
        <v>181</v>
      </c>
    </row>
    <row r="8">
      <c r="A8" s="45" t="s">
        <v>167</v>
      </c>
      <c r="B8" s="33" t="s">
        <v>182</v>
      </c>
      <c r="C8" s="34" t="s">
        <v>162</v>
      </c>
      <c r="D8" s="42">
        <f t="shared" ref="D8:D10" si="2">F7</f>
        <v>45981</v>
      </c>
      <c r="E8" s="43">
        <v>0.9166666666666666</v>
      </c>
      <c r="F8" s="42">
        <v>45988.0</v>
      </c>
      <c r="G8" s="43">
        <v>0.9166666666666666</v>
      </c>
      <c r="H8" s="37" t="s">
        <v>183</v>
      </c>
      <c r="I8" s="37" t="s">
        <v>175</v>
      </c>
      <c r="J8" s="36" t="s">
        <v>184</v>
      </c>
      <c r="K8" s="37" t="s">
        <v>10</v>
      </c>
      <c r="L8" s="37" t="s">
        <v>21</v>
      </c>
      <c r="M8" s="37" t="s">
        <v>178</v>
      </c>
    </row>
    <row r="9">
      <c r="A9" s="45" t="s">
        <v>185</v>
      </c>
      <c r="B9" s="34" t="s">
        <v>186</v>
      </c>
      <c r="C9" s="34" t="s">
        <v>162</v>
      </c>
      <c r="D9" s="42">
        <f t="shared" si="2"/>
        <v>45988</v>
      </c>
      <c r="E9" s="43">
        <v>0.5</v>
      </c>
      <c r="F9" s="42">
        <v>45992.0</v>
      </c>
      <c r="G9" s="43">
        <v>0.5</v>
      </c>
      <c r="H9" s="37" t="s">
        <v>183</v>
      </c>
      <c r="I9" s="47"/>
      <c r="J9" s="36" t="s">
        <v>187</v>
      </c>
      <c r="K9" s="37" t="s">
        <v>10</v>
      </c>
      <c r="L9" s="37" t="s">
        <v>21</v>
      </c>
      <c r="M9" s="37" t="s">
        <v>178</v>
      </c>
    </row>
    <row r="10">
      <c r="A10" s="41" t="s">
        <v>137</v>
      </c>
      <c r="B10" s="34" t="s">
        <v>188</v>
      </c>
      <c r="C10" s="34" t="s">
        <v>162</v>
      </c>
      <c r="D10" s="42">
        <f t="shared" si="2"/>
        <v>45992</v>
      </c>
      <c r="E10" s="43">
        <v>0.5</v>
      </c>
      <c r="F10" s="42">
        <f>D10+2</f>
        <v>45994</v>
      </c>
      <c r="G10" s="43">
        <v>0.5</v>
      </c>
      <c r="H10" s="37" t="s">
        <v>138</v>
      </c>
      <c r="I10" s="47"/>
      <c r="J10" s="48" t="s">
        <v>189</v>
      </c>
      <c r="K10" s="37" t="s">
        <v>10</v>
      </c>
      <c r="L10" s="37" t="s">
        <v>21</v>
      </c>
      <c r="M10" s="37" t="s">
        <v>181</v>
      </c>
    </row>
    <row r="11">
      <c r="A11" s="41" t="s">
        <v>133</v>
      </c>
      <c r="B11" s="9"/>
      <c r="C11" s="34" t="s">
        <v>98</v>
      </c>
      <c r="D11" s="42">
        <f>F11-7</f>
        <v>45986</v>
      </c>
      <c r="E11" s="49"/>
      <c r="F11" s="42">
        <v>45993.0</v>
      </c>
      <c r="G11" s="49"/>
      <c r="H11" s="47"/>
      <c r="I11" s="47"/>
      <c r="J11" s="37" t="s">
        <v>10</v>
      </c>
      <c r="K11" s="37" t="s">
        <v>10</v>
      </c>
      <c r="L11" s="37" t="s">
        <v>10</v>
      </c>
      <c r="M11" s="4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0" t="s">
        <v>0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</v>
      </c>
      <c r="J3" s="8" t="s">
        <v>8</v>
      </c>
      <c r="K3" s="8" t="s">
        <v>190</v>
      </c>
    </row>
    <row r="4">
      <c r="B4" s="31" t="s">
        <v>191</v>
      </c>
      <c r="C4" s="23" t="s">
        <v>11</v>
      </c>
      <c r="D4" s="50">
        <v>45925.0</v>
      </c>
      <c r="E4" s="50">
        <v>45935.0</v>
      </c>
      <c r="F4" s="25" t="s">
        <v>192</v>
      </c>
      <c r="G4" s="25" t="s">
        <v>108</v>
      </c>
      <c r="H4" s="25" t="s">
        <v>193</v>
      </c>
      <c r="I4" s="23" t="s">
        <v>20</v>
      </c>
      <c r="J4" s="51"/>
      <c r="K4" s="51"/>
    </row>
    <row r="5">
      <c r="B5" s="33" t="s">
        <v>194</v>
      </c>
      <c r="C5" s="2" t="s">
        <v>11</v>
      </c>
      <c r="D5" s="52">
        <v>45925.0</v>
      </c>
      <c r="E5" s="53">
        <v>45931.0</v>
      </c>
      <c r="F5" s="3" t="s">
        <v>10</v>
      </c>
      <c r="G5" s="27" t="s">
        <v>195</v>
      </c>
      <c r="H5" s="27" t="s">
        <v>196</v>
      </c>
      <c r="I5" s="2" t="s">
        <v>25</v>
      </c>
      <c r="J5" s="7" t="s">
        <v>197</v>
      </c>
      <c r="K5" s="2" t="s">
        <v>198</v>
      </c>
    </row>
    <row r="6">
      <c r="B6" s="33" t="s">
        <v>199</v>
      </c>
      <c r="C6" s="2" t="s">
        <v>98</v>
      </c>
      <c r="D6" s="54">
        <v>45939.0</v>
      </c>
      <c r="E6" s="53">
        <v>45950.0</v>
      </c>
      <c r="F6" s="3" t="s">
        <v>10</v>
      </c>
      <c r="G6" s="2" t="s">
        <v>200</v>
      </c>
      <c r="H6" s="2" t="s">
        <v>201</v>
      </c>
      <c r="I6" s="2" t="s">
        <v>202</v>
      </c>
      <c r="J6" s="7" t="s">
        <v>197</v>
      </c>
      <c r="K6" s="2" t="s">
        <v>198</v>
      </c>
    </row>
    <row r="7">
      <c r="B7" s="33" t="s">
        <v>203</v>
      </c>
      <c r="C7" s="2" t="s">
        <v>98</v>
      </c>
      <c r="D7" s="53">
        <v>45950.0</v>
      </c>
      <c r="E7" s="55">
        <v>45961.0</v>
      </c>
      <c r="F7" s="3" t="s">
        <v>10</v>
      </c>
      <c r="G7" s="2" t="s">
        <v>204</v>
      </c>
      <c r="H7" s="2" t="s">
        <v>205</v>
      </c>
      <c r="I7" s="2" t="s">
        <v>25</v>
      </c>
      <c r="J7" s="7" t="s">
        <v>197</v>
      </c>
      <c r="K7" s="2" t="s">
        <v>198</v>
      </c>
    </row>
    <row r="8">
      <c r="B8" s="33" t="s">
        <v>206</v>
      </c>
      <c r="C8" s="2" t="s">
        <v>98</v>
      </c>
      <c r="D8" s="54">
        <v>45950.0</v>
      </c>
      <c r="E8" s="53">
        <v>45991.0</v>
      </c>
      <c r="F8" s="3" t="s">
        <v>10</v>
      </c>
      <c r="G8" s="2" t="s">
        <v>207</v>
      </c>
      <c r="H8" s="9"/>
      <c r="I8" s="2" t="s">
        <v>208</v>
      </c>
      <c r="J8" s="7" t="s">
        <v>197</v>
      </c>
      <c r="K8" s="2" t="s">
        <v>209</v>
      </c>
    </row>
    <row r="9">
      <c r="B9" s="33" t="s">
        <v>129</v>
      </c>
      <c r="C9" s="2" t="s">
        <v>11</v>
      </c>
      <c r="D9" s="54">
        <v>45956.0</v>
      </c>
      <c r="E9" s="53">
        <v>45964.0</v>
      </c>
      <c r="F9" s="29" t="s">
        <v>210</v>
      </c>
      <c r="G9" s="2" t="s">
        <v>108</v>
      </c>
      <c r="H9" s="9"/>
      <c r="I9" s="2" t="s">
        <v>20</v>
      </c>
      <c r="J9" s="7" t="s">
        <v>197</v>
      </c>
      <c r="K9" s="2" t="s">
        <v>211</v>
      </c>
    </row>
    <row r="10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>
      <c r="B11" s="30" t="s">
        <v>212</v>
      </c>
      <c r="C11" s="10"/>
      <c r="D11" s="10"/>
      <c r="E11" s="10"/>
      <c r="F11" s="57"/>
      <c r="G11" s="57"/>
      <c r="H11" s="57"/>
      <c r="I11" s="10"/>
      <c r="J11" s="57"/>
      <c r="K11" s="57"/>
    </row>
    <row r="12">
      <c r="B12" s="58" t="s">
        <v>213</v>
      </c>
      <c r="C12" s="2" t="s">
        <v>59</v>
      </c>
      <c r="D12" s="2" t="s">
        <v>214</v>
      </c>
      <c r="E12" s="59"/>
      <c r="F12" s="3" t="s">
        <v>10</v>
      </c>
      <c r="G12" s="2" t="s">
        <v>215</v>
      </c>
      <c r="H12" s="2" t="s">
        <v>216</v>
      </c>
      <c r="I12" s="2" t="s">
        <v>10</v>
      </c>
      <c r="J12" s="9"/>
      <c r="K12" s="2" t="s">
        <v>211</v>
      </c>
    </row>
    <row r="13">
      <c r="B13" s="33" t="s">
        <v>217</v>
      </c>
      <c r="C13" s="2" t="s">
        <v>11</v>
      </c>
      <c r="D13" s="54">
        <v>45940.0</v>
      </c>
      <c r="E13" s="53">
        <v>45961.0</v>
      </c>
      <c r="F13" s="3" t="s">
        <v>10</v>
      </c>
      <c r="G13" s="2" t="s">
        <v>218</v>
      </c>
      <c r="H13" s="2" t="s">
        <v>219</v>
      </c>
      <c r="I13" s="2" t="s">
        <v>10</v>
      </c>
      <c r="J13" s="9"/>
      <c r="K13" s="2" t="s">
        <v>211</v>
      </c>
    </row>
  </sheetData>
  <hyperlinks>
    <hyperlink r:id="rId1" location="gid=791558185" ref="J5"/>
    <hyperlink r:id="rId2" location="gid=791558185" ref="J6"/>
    <hyperlink r:id="rId3" location="gid=791558185" ref="J7"/>
    <hyperlink r:id="rId4" location="gid=791558185" ref="J8"/>
    <hyperlink r:id="rId5" location="gid=791558185" ref="J9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0" t="s">
        <v>0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>
      <c r="B4" s="31" t="s">
        <v>220</v>
      </c>
      <c r="C4" s="31" t="s">
        <v>11</v>
      </c>
      <c r="D4" s="50">
        <v>45894.0</v>
      </c>
      <c r="E4" s="50">
        <v>45904.0</v>
      </c>
      <c r="F4" s="25" t="s">
        <v>221</v>
      </c>
      <c r="G4" s="25" t="s">
        <v>108</v>
      </c>
      <c r="H4" s="25" t="s">
        <v>222</v>
      </c>
      <c r="I4" s="60" t="s">
        <v>223</v>
      </c>
    </row>
    <row r="5">
      <c r="B5" s="33" t="s">
        <v>115</v>
      </c>
      <c r="C5" s="34" t="s">
        <v>11</v>
      </c>
      <c r="D5" s="55">
        <v>45904.0</v>
      </c>
      <c r="E5" s="3" t="s">
        <v>10</v>
      </c>
      <c r="F5" s="3" t="s">
        <v>10</v>
      </c>
      <c r="G5" s="2" t="s">
        <v>108</v>
      </c>
      <c r="H5" s="2" t="s">
        <v>140</v>
      </c>
      <c r="I5" s="7" t="s">
        <v>224</v>
      </c>
    </row>
    <row r="6">
      <c r="B6" s="33" t="s">
        <v>225</v>
      </c>
      <c r="C6" s="34" t="s">
        <v>11</v>
      </c>
      <c r="D6" s="55">
        <v>45905.0</v>
      </c>
      <c r="E6" s="55">
        <f>D6+14</f>
        <v>45919</v>
      </c>
      <c r="F6" s="3" t="s">
        <v>10</v>
      </c>
      <c r="G6" s="2" t="s">
        <v>226</v>
      </c>
      <c r="H6" s="2" t="s">
        <v>227</v>
      </c>
      <c r="I6" s="7" t="s">
        <v>228</v>
      </c>
    </row>
    <row r="7">
      <c r="B7" s="33" t="s">
        <v>229</v>
      </c>
      <c r="C7" s="34" t="s">
        <v>11</v>
      </c>
      <c r="D7" s="55">
        <v>45904.0</v>
      </c>
      <c r="E7" s="55">
        <v>45910.0</v>
      </c>
      <c r="F7" s="3" t="s">
        <v>21</v>
      </c>
      <c r="G7" s="2" t="s">
        <v>56</v>
      </c>
      <c r="H7" s="2" t="s">
        <v>230</v>
      </c>
      <c r="I7" s="7" t="s">
        <v>229</v>
      </c>
    </row>
    <row r="8">
      <c r="B8" s="33" t="s">
        <v>231</v>
      </c>
      <c r="C8" s="34" t="s">
        <v>59</v>
      </c>
      <c r="D8" s="55">
        <v>45909.0</v>
      </c>
      <c r="E8" s="53">
        <v>45923.0</v>
      </c>
      <c r="F8" s="3" t="s">
        <v>10</v>
      </c>
      <c r="G8" s="2" t="s">
        <v>232</v>
      </c>
      <c r="H8" s="2" t="s">
        <v>233</v>
      </c>
      <c r="I8" s="7" t="s">
        <v>234</v>
      </c>
    </row>
    <row r="9">
      <c r="B9" s="33" t="s">
        <v>235</v>
      </c>
      <c r="C9" s="34" t="s">
        <v>59</v>
      </c>
      <c r="D9" s="3" t="s">
        <v>236</v>
      </c>
      <c r="E9" s="29" t="s">
        <v>237</v>
      </c>
      <c r="F9" s="3" t="s">
        <v>238</v>
      </c>
      <c r="G9" s="2" t="s">
        <v>108</v>
      </c>
      <c r="H9" s="2" t="s">
        <v>230</v>
      </c>
      <c r="I9" s="7" t="s">
        <v>234</v>
      </c>
    </row>
    <row r="10">
      <c r="B10" s="34" t="s">
        <v>74</v>
      </c>
      <c r="C10" s="34" t="s">
        <v>11</v>
      </c>
      <c r="D10" s="55">
        <v>45925.0</v>
      </c>
      <c r="E10" s="53">
        <v>45935.0</v>
      </c>
      <c r="F10" s="3" t="s">
        <v>239</v>
      </c>
      <c r="G10" s="2" t="s">
        <v>108</v>
      </c>
      <c r="H10" s="2" t="s">
        <v>240</v>
      </c>
      <c r="I10" s="9"/>
    </row>
    <row r="11">
      <c r="B11" s="33" t="s">
        <v>55</v>
      </c>
      <c r="C11" s="34" t="s">
        <v>11</v>
      </c>
      <c r="D11" s="55">
        <v>45925.0</v>
      </c>
      <c r="E11" s="55">
        <v>45933.0</v>
      </c>
      <c r="F11" s="3" t="s">
        <v>169</v>
      </c>
      <c r="G11" s="2" t="s">
        <v>56</v>
      </c>
      <c r="H11" s="2" t="s">
        <v>241</v>
      </c>
      <c r="I11" s="7" t="s">
        <v>242</v>
      </c>
    </row>
  </sheetData>
  <hyperlinks>
    <hyperlink r:id="rId1" ref="I4"/>
    <hyperlink r:id="rId2" location="gid=831272217" ref="I5"/>
    <hyperlink r:id="rId3" location="gid=0" ref="I6"/>
    <hyperlink r:id="rId4" location="gid=648788140" ref="I7"/>
    <hyperlink r:id="rId5" location="gid=422350759" ref="I8"/>
    <hyperlink r:id="rId6" location="gid=422350759" ref="I9"/>
    <hyperlink r:id="rId7" location="gid=0" ref="I11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243</v>
      </c>
      <c r="J1" s="1" t="s">
        <v>244</v>
      </c>
      <c r="K1" s="1" t="s">
        <v>245</v>
      </c>
      <c r="L1" s="1" t="s">
        <v>190</v>
      </c>
    </row>
    <row r="2">
      <c r="A2" s="33" t="s">
        <v>74</v>
      </c>
      <c r="B2" s="61" t="s">
        <v>162</v>
      </c>
      <c r="C2" s="55">
        <v>45863.0</v>
      </c>
      <c r="D2" s="55">
        <v>45873.0</v>
      </c>
      <c r="E2" s="27" t="s">
        <v>246</v>
      </c>
      <c r="F2" s="2" t="s">
        <v>108</v>
      </c>
      <c r="G2" s="62" t="s">
        <v>247</v>
      </c>
      <c r="H2" s="63"/>
      <c r="I2" s="63"/>
      <c r="J2" s="63"/>
      <c r="K2" s="63"/>
      <c r="L2" s="63"/>
    </row>
    <row r="3">
      <c r="A3" s="33" t="s">
        <v>248</v>
      </c>
      <c r="B3" s="34" t="s">
        <v>249</v>
      </c>
      <c r="C3" s="55">
        <v>45863.0</v>
      </c>
      <c r="D3" s="53">
        <v>45889.0</v>
      </c>
      <c r="E3" s="3" t="s">
        <v>12</v>
      </c>
      <c r="F3" s="64" t="s">
        <v>250</v>
      </c>
      <c r="G3" s="65" t="s">
        <v>251</v>
      </c>
      <c r="H3" s="63"/>
      <c r="I3" s="63"/>
      <c r="J3" s="63"/>
      <c r="K3" s="63"/>
      <c r="L3" s="63"/>
    </row>
    <row r="4">
      <c r="A4" s="33" t="s">
        <v>248</v>
      </c>
      <c r="B4" s="34" t="s">
        <v>59</v>
      </c>
      <c r="C4" s="55">
        <v>45863.0</v>
      </c>
      <c r="D4" s="53">
        <v>45881.0</v>
      </c>
      <c r="E4" s="3" t="s">
        <v>12</v>
      </c>
      <c r="F4" s="64" t="s">
        <v>250</v>
      </c>
      <c r="G4" s="65" t="s">
        <v>251</v>
      </c>
      <c r="H4" s="63"/>
      <c r="I4" s="63"/>
      <c r="J4" s="63"/>
      <c r="K4" s="63"/>
      <c r="L4" s="63"/>
    </row>
    <row r="5">
      <c r="A5" s="34" t="s">
        <v>252</v>
      </c>
      <c r="B5" s="34" t="s">
        <v>59</v>
      </c>
      <c r="C5" s="55">
        <f>D4</f>
        <v>45881</v>
      </c>
      <c r="D5" s="53">
        <v>45894.0</v>
      </c>
      <c r="E5" s="3" t="s">
        <v>21</v>
      </c>
      <c r="F5" s="64" t="s">
        <v>250</v>
      </c>
      <c r="G5" s="65" t="s">
        <v>251</v>
      </c>
      <c r="H5" s="63"/>
      <c r="I5" s="63"/>
      <c r="J5" s="63"/>
      <c r="K5" s="63"/>
      <c r="L5" s="63"/>
    </row>
    <row r="6">
      <c r="A6" s="34" t="s">
        <v>252</v>
      </c>
      <c r="B6" s="34" t="s">
        <v>249</v>
      </c>
      <c r="C6" s="55">
        <f>D3</f>
        <v>45889</v>
      </c>
      <c r="D6" s="53">
        <v>45904.0</v>
      </c>
      <c r="E6" s="3" t="s">
        <v>21</v>
      </c>
      <c r="F6" s="64" t="s">
        <v>250</v>
      </c>
      <c r="G6" s="65" t="s">
        <v>251</v>
      </c>
      <c r="H6" s="63"/>
      <c r="I6" s="63"/>
      <c r="J6" s="63"/>
      <c r="K6" s="63"/>
      <c r="L6" s="63"/>
    </row>
    <row r="7">
      <c r="A7" s="34" t="s">
        <v>74</v>
      </c>
      <c r="B7" s="34" t="s">
        <v>59</v>
      </c>
      <c r="C7" s="55">
        <f>D5</f>
        <v>45894</v>
      </c>
      <c r="D7" s="53">
        <v>45904.0</v>
      </c>
      <c r="E7" s="3" t="s">
        <v>21</v>
      </c>
      <c r="F7" s="2" t="s">
        <v>108</v>
      </c>
      <c r="G7" s="66" t="s">
        <v>253</v>
      </c>
      <c r="H7" s="63"/>
      <c r="I7" s="63"/>
      <c r="J7" s="63"/>
      <c r="K7" s="63"/>
      <c r="L7" s="6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243</v>
      </c>
      <c r="J1" s="8" t="s">
        <v>244</v>
      </c>
      <c r="K1" s="8" t="s">
        <v>245</v>
      </c>
      <c r="L1" s="8" t="s">
        <v>190</v>
      </c>
      <c r="M1" s="67" t="s">
        <v>254</v>
      </c>
    </row>
    <row r="2">
      <c r="A2" s="31" t="s">
        <v>19</v>
      </c>
      <c r="B2" s="31" t="s">
        <v>11</v>
      </c>
      <c r="C2" s="50">
        <v>45828.0</v>
      </c>
      <c r="D2" s="50">
        <v>45845.0</v>
      </c>
      <c r="E2" s="25" t="s">
        <v>255</v>
      </c>
      <c r="F2" s="25" t="s">
        <v>108</v>
      </c>
      <c r="G2" s="68" t="s">
        <v>256</v>
      </c>
      <c r="H2" s="60" t="s">
        <v>257</v>
      </c>
      <c r="I2" s="51"/>
      <c r="J2" s="51"/>
      <c r="K2" s="51"/>
      <c r="L2" s="25" t="s">
        <v>258</v>
      </c>
      <c r="M2" s="57"/>
    </row>
    <row r="3">
      <c r="A3" s="33" t="s">
        <v>259</v>
      </c>
      <c r="B3" s="34" t="s">
        <v>11</v>
      </c>
      <c r="C3" s="55">
        <f>D2</f>
        <v>45845</v>
      </c>
      <c r="D3" s="53">
        <f>C3+23</f>
        <v>45868</v>
      </c>
      <c r="E3" s="3" t="s">
        <v>12</v>
      </c>
      <c r="F3" s="2" t="s">
        <v>108</v>
      </c>
      <c r="G3" s="33" t="s">
        <v>260</v>
      </c>
      <c r="H3" s="69" t="s">
        <v>261</v>
      </c>
      <c r="I3" s="9"/>
      <c r="J3" s="9"/>
      <c r="K3" s="9"/>
      <c r="L3" s="2" t="s">
        <v>262</v>
      </c>
      <c r="M3" s="57"/>
    </row>
    <row r="4">
      <c r="A4" s="33" t="s">
        <v>263</v>
      </c>
      <c r="B4" s="34" t="s">
        <v>11</v>
      </c>
      <c r="C4" s="55">
        <f>C3+1</f>
        <v>45846</v>
      </c>
      <c r="D4" s="53">
        <v>45853.0</v>
      </c>
      <c r="E4" s="3" t="s">
        <v>12</v>
      </c>
      <c r="F4" s="2" t="s">
        <v>108</v>
      </c>
      <c r="G4" s="65" t="s">
        <v>256</v>
      </c>
      <c r="H4" s="70" t="s">
        <v>264</v>
      </c>
      <c r="I4" s="9"/>
      <c r="J4" s="9"/>
      <c r="K4" s="9"/>
      <c r="L4" s="2" t="s">
        <v>265</v>
      </c>
      <c r="M4" s="57"/>
    </row>
    <row r="5">
      <c r="A5" s="34" t="s">
        <v>266</v>
      </c>
      <c r="B5" s="34" t="s">
        <v>11</v>
      </c>
      <c r="C5" s="55">
        <f>D4</f>
        <v>45853</v>
      </c>
      <c r="D5" s="53">
        <v>45863.0</v>
      </c>
      <c r="E5" s="3" t="s">
        <v>12</v>
      </c>
      <c r="F5" s="2" t="s">
        <v>267</v>
      </c>
      <c r="G5" s="65" t="s">
        <v>268</v>
      </c>
      <c r="H5" s="69" t="s">
        <v>261</v>
      </c>
      <c r="I5" s="9"/>
      <c r="J5" s="9"/>
      <c r="K5" s="9"/>
      <c r="L5" s="2" t="s">
        <v>211</v>
      </c>
      <c r="M5" s="71" t="s">
        <v>269</v>
      </c>
    </row>
    <row r="6">
      <c r="A6" s="34" t="s">
        <v>270</v>
      </c>
      <c r="B6" s="34" t="s">
        <v>11</v>
      </c>
      <c r="C6" s="55">
        <v>45863.0</v>
      </c>
      <c r="D6" s="55">
        <v>45867.0</v>
      </c>
      <c r="E6" s="3" t="s">
        <v>12</v>
      </c>
      <c r="F6" s="2" t="s">
        <v>56</v>
      </c>
      <c r="G6" s="33" t="s">
        <v>21</v>
      </c>
      <c r="H6" s="69" t="s">
        <v>271</v>
      </c>
      <c r="I6" s="9"/>
      <c r="J6" s="9"/>
      <c r="K6" s="9"/>
      <c r="L6" s="2" t="s">
        <v>272</v>
      </c>
      <c r="M6" s="57"/>
    </row>
    <row r="7">
      <c r="A7" s="34" t="s">
        <v>248</v>
      </c>
      <c r="B7" s="34" t="s">
        <v>59</v>
      </c>
      <c r="C7" s="55">
        <f>D5</f>
        <v>45863</v>
      </c>
      <c r="D7" s="55">
        <v>45881.0</v>
      </c>
      <c r="E7" s="3" t="s">
        <v>12</v>
      </c>
      <c r="F7" s="2" t="s">
        <v>267</v>
      </c>
      <c r="G7" s="65" t="s">
        <v>273</v>
      </c>
      <c r="H7" s="9"/>
      <c r="I7" s="9"/>
      <c r="J7" s="9"/>
      <c r="K7" s="9"/>
      <c r="L7" s="2" t="s">
        <v>211</v>
      </c>
      <c r="M7" s="71" t="s">
        <v>269</v>
      </c>
    </row>
    <row r="8">
      <c r="A8" s="34" t="s">
        <v>248</v>
      </c>
      <c r="B8" s="34" t="s">
        <v>98</v>
      </c>
      <c r="C8" s="55">
        <f>C6</f>
        <v>45863</v>
      </c>
      <c r="D8" s="55">
        <v>45889.0</v>
      </c>
      <c r="E8" s="3" t="s">
        <v>12</v>
      </c>
      <c r="F8" s="2" t="s">
        <v>267</v>
      </c>
      <c r="G8" s="65" t="s">
        <v>273</v>
      </c>
      <c r="H8" s="9"/>
      <c r="I8" s="9"/>
      <c r="J8" s="9"/>
      <c r="K8" s="9"/>
      <c r="L8" s="2" t="s">
        <v>211</v>
      </c>
      <c r="M8" s="71" t="s">
        <v>269</v>
      </c>
    </row>
    <row r="9">
      <c r="A9" s="34" t="s">
        <v>74</v>
      </c>
      <c r="B9" s="34" t="s">
        <v>11</v>
      </c>
      <c r="C9" s="55">
        <v>45863.0</v>
      </c>
      <c r="D9" s="55">
        <v>45873.0</v>
      </c>
      <c r="E9" s="27" t="s">
        <v>274</v>
      </c>
      <c r="F9" s="2" t="s">
        <v>108</v>
      </c>
      <c r="G9" s="62" t="s">
        <v>247</v>
      </c>
      <c r="H9" s="9"/>
      <c r="I9" s="9"/>
      <c r="J9" s="9"/>
      <c r="K9" s="9"/>
      <c r="L9" s="9"/>
      <c r="M9" s="57"/>
    </row>
    <row r="10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</row>
    <row r="11">
      <c r="A11" s="30" t="s">
        <v>275</v>
      </c>
      <c r="B11" s="8" t="s">
        <v>2</v>
      </c>
      <c r="C11" s="8" t="s">
        <v>3</v>
      </c>
      <c r="D11" s="8" t="s">
        <v>4</v>
      </c>
      <c r="E11" s="8" t="s">
        <v>6</v>
      </c>
      <c r="F11" s="8" t="s">
        <v>7</v>
      </c>
      <c r="G11" s="8" t="s">
        <v>8</v>
      </c>
      <c r="I11" s="8" t="s">
        <v>244</v>
      </c>
      <c r="J11" s="8" t="s">
        <v>245</v>
      </c>
      <c r="K11" s="8" t="s">
        <v>190</v>
      </c>
      <c r="L11" s="10"/>
      <c r="M11" s="57"/>
    </row>
    <row r="12">
      <c r="A12" s="33" t="s">
        <v>276</v>
      </c>
      <c r="B12" s="34" t="s">
        <v>11</v>
      </c>
      <c r="C12" s="53">
        <v>45845.0</v>
      </c>
      <c r="D12" s="53">
        <v>45852.0</v>
      </c>
      <c r="E12" s="33" t="s">
        <v>108</v>
      </c>
      <c r="F12" s="33" t="s">
        <v>277</v>
      </c>
      <c r="G12" s="72" t="s">
        <v>278</v>
      </c>
      <c r="H12" s="73"/>
      <c r="I12" s="47"/>
      <c r="J12" s="47"/>
      <c r="K12" s="27" t="s">
        <v>265</v>
      </c>
      <c r="L12" s="10"/>
      <c r="M12" s="57"/>
    </row>
    <row r="13">
      <c r="A13" s="34" t="s">
        <v>279</v>
      </c>
      <c r="B13" s="34" t="s">
        <v>11</v>
      </c>
      <c r="C13" s="53">
        <v>45845.0</v>
      </c>
      <c r="D13" s="53">
        <v>45852.0</v>
      </c>
      <c r="E13" s="33" t="s">
        <v>108</v>
      </c>
      <c r="F13" s="33" t="s">
        <v>280</v>
      </c>
      <c r="G13" s="72" t="s">
        <v>281</v>
      </c>
      <c r="H13" s="73"/>
      <c r="I13" s="47"/>
      <c r="J13" s="47"/>
      <c r="K13" s="27" t="s">
        <v>265</v>
      </c>
      <c r="L13" s="10"/>
      <c r="M13" s="57"/>
    </row>
    <row r="14">
      <c r="A14" s="34" t="s">
        <v>282</v>
      </c>
      <c r="B14" s="34" t="s">
        <v>11</v>
      </c>
      <c r="C14" s="53">
        <v>45856.0</v>
      </c>
      <c r="D14" s="53">
        <v>45869.0</v>
      </c>
      <c r="E14" s="33" t="s">
        <v>108</v>
      </c>
      <c r="F14" s="33" t="s">
        <v>283</v>
      </c>
      <c r="G14" s="74" t="s">
        <v>284</v>
      </c>
      <c r="H14" s="73"/>
      <c r="I14" s="47"/>
      <c r="J14" s="47"/>
      <c r="K14" s="27" t="s">
        <v>265</v>
      </c>
      <c r="L14" s="10"/>
      <c r="M14" s="57"/>
    </row>
    <row r="15">
      <c r="A15" s="34" t="s">
        <v>282</v>
      </c>
      <c r="B15" s="34" t="s">
        <v>11</v>
      </c>
      <c r="C15" s="53">
        <v>45856.0</v>
      </c>
      <c r="D15" s="53">
        <v>45869.0</v>
      </c>
      <c r="E15" s="33" t="s">
        <v>108</v>
      </c>
      <c r="F15" s="33" t="s">
        <v>283</v>
      </c>
      <c r="G15" s="74" t="s">
        <v>285</v>
      </c>
      <c r="H15" s="73"/>
      <c r="I15" s="47"/>
      <c r="J15" s="47"/>
      <c r="K15" s="27" t="s">
        <v>265</v>
      </c>
      <c r="L15" s="10"/>
      <c r="M15" s="57"/>
    </row>
    <row r="16">
      <c r="A16" s="37" t="s">
        <v>286</v>
      </c>
      <c r="B16" s="34" t="s">
        <v>11</v>
      </c>
      <c r="C16" s="53">
        <v>45852.0</v>
      </c>
      <c r="D16" s="53">
        <v>45869.0</v>
      </c>
      <c r="E16" s="33" t="s">
        <v>108</v>
      </c>
      <c r="F16" s="33" t="s">
        <v>287</v>
      </c>
      <c r="G16" s="75" t="s">
        <v>288</v>
      </c>
      <c r="H16" s="73"/>
      <c r="I16" s="47"/>
      <c r="J16" s="47"/>
      <c r="K16" s="27" t="s">
        <v>265</v>
      </c>
      <c r="L16" s="10"/>
      <c r="M16" s="57"/>
    </row>
    <row r="17">
      <c r="A17" s="34" t="s">
        <v>289</v>
      </c>
      <c r="B17" s="34" t="s">
        <v>11</v>
      </c>
      <c r="C17" s="53">
        <v>45852.0</v>
      </c>
      <c r="D17" s="53">
        <v>45869.0</v>
      </c>
      <c r="E17" s="33" t="s">
        <v>108</v>
      </c>
      <c r="F17" s="33" t="s">
        <v>287</v>
      </c>
      <c r="G17" s="75" t="s">
        <v>290</v>
      </c>
      <c r="H17" s="73"/>
      <c r="I17" s="47"/>
      <c r="J17" s="47"/>
      <c r="K17" s="27" t="s">
        <v>265</v>
      </c>
      <c r="L17" s="10"/>
      <c r="M17" s="57"/>
    </row>
    <row r="18">
      <c r="A18" s="34" t="s">
        <v>291</v>
      </c>
      <c r="B18" s="34" t="s">
        <v>11</v>
      </c>
      <c r="C18" s="53">
        <v>45852.0</v>
      </c>
      <c r="D18" s="53">
        <v>45869.0</v>
      </c>
      <c r="E18" s="33" t="s">
        <v>108</v>
      </c>
      <c r="F18" s="33" t="s">
        <v>287</v>
      </c>
      <c r="G18" s="75" t="s">
        <v>292</v>
      </c>
      <c r="H18" s="73"/>
      <c r="I18" s="47"/>
      <c r="J18" s="47"/>
      <c r="K18" s="27" t="s">
        <v>265</v>
      </c>
      <c r="L18" s="10"/>
      <c r="M18" s="57"/>
    </row>
    <row r="19">
      <c r="A19" s="34" t="s">
        <v>293</v>
      </c>
      <c r="B19" s="34" t="s">
        <v>11</v>
      </c>
      <c r="C19" s="53">
        <v>45852.0</v>
      </c>
      <c r="D19" s="53">
        <v>45869.0</v>
      </c>
      <c r="E19" s="33" t="s">
        <v>108</v>
      </c>
      <c r="F19" s="33" t="s">
        <v>287</v>
      </c>
      <c r="G19" s="75" t="s">
        <v>294</v>
      </c>
      <c r="H19" s="73"/>
      <c r="I19" s="47"/>
      <c r="J19" s="47"/>
      <c r="K19" s="27" t="s">
        <v>265</v>
      </c>
      <c r="L19" s="10"/>
      <c r="M19" s="57"/>
    </row>
  </sheetData>
  <mergeCells count="9">
    <mergeCell ref="G18:H18"/>
    <mergeCell ref="G19:H19"/>
    <mergeCell ref="G11:H11"/>
    <mergeCell ref="G12:H12"/>
    <mergeCell ref="G13:H13"/>
    <mergeCell ref="G14:H14"/>
    <mergeCell ref="G15:H15"/>
    <mergeCell ref="G16:H16"/>
    <mergeCell ref="G17:H17"/>
  </mergeCells>
  <hyperlinks>
    <hyperlink r:id="rId1" location="gid=1170769378" ref="H2"/>
    <hyperlink r:id="rId2" location="gid=2122804627" ref="H3"/>
    <hyperlink r:id="rId3" location="gid=0" ref="H4"/>
    <hyperlink r:id="rId4" location="gid=1051626956" ref="H5"/>
    <hyperlink r:id="rId5" location="gid=1057896005" ref="M5"/>
    <hyperlink r:id="rId6" location="gid=293537015" ref="H6"/>
    <hyperlink r:id="rId7" location="gid=1057896005" ref="M7"/>
    <hyperlink r:id="rId8" location="gid=1057896005" ref="M8"/>
    <hyperlink r:id="rId9" location="gid=0" ref="G12"/>
    <hyperlink r:id="rId10" location="gid=2000873559" ref="G13"/>
    <hyperlink r:id="rId11" location="gid=379718639" ref="G14"/>
    <hyperlink r:id="rId12" location="gid=792172573" ref="G15"/>
    <hyperlink r:id="rId13" location="gid=604858772" ref="G16"/>
    <hyperlink r:id="rId14" location="gid=604858773" ref="G17"/>
    <hyperlink r:id="rId15" location="gid=604858774" ref="G18"/>
    <hyperlink r:id="rId16" location="gid=604858775" ref="G19"/>
  </hyperlinks>
  <drawing r:id="rId1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243</v>
      </c>
      <c r="J1" s="8" t="s">
        <v>244</v>
      </c>
      <c r="K1" s="8" t="s">
        <v>245</v>
      </c>
      <c r="L1" s="8" t="s">
        <v>190</v>
      </c>
    </row>
    <row r="2">
      <c r="A2" s="31" t="s">
        <v>53</v>
      </c>
      <c r="B2" s="31" t="s">
        <v>11</v>
      </c>
      <c r="C2" s="76">
        <v>45803.0</v>
      </c>
      <c r="D2" s="50">
        <v>45813.0</v>
      </c>
      <c r="E2" s="25" t="s">
        <v>295</v>
      </c>
      <c r="F2" s="77" t="s">
        <v>108</v>
      </c>
      <c r="G2" s="68" t="s">
        <v>296</v>
      </c>
      <c r="H2" s="31" t="s">
        <v>10</v>
      </c>
      <c r="I2" s="51"/>
      <c r="J2" s="51"/>
      <c r="K2" s="51"/>
      <c r="L2" s="23" t="s">
        <v>297</v>
      </c>
    </row>
    <row r="3">
      <c r="A3" s="78" t="s">
        <v>298</v>
      </c>
      <c r="B3" s="37" t="s">
        <v>11</v>
      </c>
      <c r="C3" s="53">
        <v>45817.0</v>
      </c>
      <c r="D3" s="29" t="s">
        <v>10</v>
      </c>
      <c r="E3" s="29" t="s">
        <v>10</v>
      </c>
      <c r="F3" s="36" t="s">
        <v>108</v>
      </c>
      <c r="G3" s="36" t="s">
        <v>260</v>
      </c>
      <c r="H3" s="79" t="s">
        <v>299</v>
      </c>
      <c r="I3" s="47"/>
      <c r="J3" s="47"/>
      <c r="K3" s="47"/>
      <c r="L3" s="27" t="s">
        <v>211</v>
      </c>
    </row>
    <row r="4">
      <c r="A4" s="36" t="s">
        <v>300</v>
      </c>
      <c r="B4" s="37" t="s">
        <v>11</v>
      </c>
      <c r="C4" s="53">
        <v>45817.0</v>
      </c>
      <c r="D4" s="53">
        <v>45838.0</v>
      </c>
      <c r="E4" s="29" t="s">
        <v>12</v>
      </c>
      <c r="F4" s="36" t="s">
        <v>301</v>
      </c>
      <c r="G4" s="36" t="s">
        <v>302</v>
      </c>
      <c r="H4" s="47"/>
      <c r="I4" s="47"/>
      <c r="J4" s="47"/>
      <c r="K4" s="47"/>
      <c r="L4" s="27" t="s">
        <v>265</v>
      </c>
    </row>
    <row r="5">
      <c r="A5" s="37" t="s">
        <v>303</v>
      </c>
      <c r="B5" s="37" t="s">
        <v>11</v>
      </c>
      <c r="C5" s="53">
        <v>45817.0</v>
      </c>
      <c r="D5" s="53">
        <v>45829.0</v>
      </c>
      <c r="E5" s="29" t="s">
        <v>12</v>
      </c>
      <c r="F5" s="36" t="s">
        <v>304</v>
      </c>
      <c r="G5" s="36" t="s">
        <v>302</v>
      </c>
      <c r="H5" s="79" t="s">
        <v>24</v>
      </c>
      <c r="I5" s="47"/>
      <c r="J5" s="47"/>
      <c r="K5" s="47"/>
      <c r="L5" s="27" t="s">
        <v>209</v>
      </c>
    </row>
    <row r="6">
      <c r="A6" s="37" t="s">
        <v>19</v>
      </c>
      <c r="B6" s="37" t="s">
        <v>11</v>
      </c>
      <c r="C6" s="53">
        <v>45828.0</v>
      </c>
      <c r="D6" s="53">
        <v>45845.0</v>
      </c>
      <c r="E6" s="29" t="s">
        <v>305</v>
      </c>
      <c r="F6" s="36" t="s">
        <v>108</v>
      </c>
      <c r="G6" s="62" t="s">
        <v>256</v>
      </c>
      <c r="H6" s="79" t="s">
        <v>257</v>
      </c>
      <c r="I6" s="47"/>
      <c r="J6" s="47"/>
      <c r="K6" s="47"/>
      <c r="L6" s="27" t="s">
        <v>297</v>
      </c>
    </row>
    <row r="7">
      <c r="A7" s="30" t="s">
        <v>275</v>
      </c>
      <c r="B7" s="8" t="s">
        <v>2</v>
      </c>
      <c r="C7" s="8" t="s">
        <v>3</v>
      </c>
      <c r="D7" s="8" t="s">
        <v>4</v>
      </c>
      <c r="E7" s="8" t="s">
        <v>6</v>
      </c>
      <c r="F7" s="8" t="s">
        <v>7</v>
      </c>
      <c r="G7" s="8" t="s">
        <v>8</v>
      </c>
      <c r="I7" s="8" t="s">
        <v>244</v>
      </c>
      <c r="J7" s="8" t="s">
        <v>245</v>
      </c>
      <c r="K7" s="8" t="s">
        <v>190</v>
      </c>
      <c r="L7" s="8" t="s">
        <v>190</v>
      </c>
    </row>
    <row r="8">
      <c r="A8" s="78" t="s">
        <v>306</v>
      </c>
      <c r="B8" s="37" t="s">
        <v>11</v>
      </c>
      <c r="C8" s="53">
        <v>45817.0</v>
      </c>
      <c r="D8" s="29" t="s">
        <v>10</v>
      </c>
      <c r="E8" s="29" t="s">
        <v>226</v>
      </c>
      <c r="F8" s="36" t="s">
        <v>307</v>
      </c>
      <c r="G8" s="80"/>
      <c r="H8" s="73"/>
      <c r="I8" s="47"/>
      <c r="J8" s="47"/>
      <c r="K8" s="47"/>
      <c r="L8" s="27" t="s">
        <v>265</v>
      </c>
    </row>
    <row r="9">
      <c r="A9" s="81" t="s">
        <v>308</v>
      </c>
      <c r="B9" s="37" t="s">
        <v>11</v>
      </c>
      <c r="C9" s="53">
        <v>45817.0</v>
      </c>
      <c r="D9" s="53">
        <v>45824.0</v>
      </c>
      <c r="E9" s="29" t="s">
        <v>226</v>
      </c>
      <c r="F9" s="36" t="s">
        <v>309</v>
      </c>
      <c r="G9" s="80"/>
      <c r="H9" s="73"/>
      <c r="I9" s="47"/>
      <c r="J9" s="47"/>
      <c r="K9" s="47"/>
      <c r="L9" s="27" t="s">
        <v>265</v>
      </c>
    </row>
    <row r="10">
      <c r="A10" s="81" t="s">
        <v>310</v>
      </c>
      <c r="B10" s="37" t="s">
        <v>11</v>
      </c>
      <c r="C10" s="53">
        <v>45817.0</v>
      </c>
      <c r="D10" s="53">
        <v>45824.0</v>
      </c>
      <c r="E10" s="29" t="s">
        <v>226</v>
      </c>
      <c r="F10" s="36" t="s">
        <v>309</v>
      </c>
      <c r="G10" s="80"/>
      <c r="H10" s="73"/>
      <c r="I10" s="47"/>
      <c r="J10" s="47"/>
      <c r="K10" s="47"/>
      <c r="L10" s="27" t="s">
        <v>265</v>
      </c>
    </row>
    <row r="11">
      <c r="A11" s="81" t="s">
        <v>311</v>
      </c>
      <c r="B11" s="37" t="s">
        <v>11</v>
      </c>
      <c r="C11" s="53">
        <v>45824.0</v>
      </c>
      <c r="D11" s="53">
        <v>45831.0</v>
      </c>
      <c r="E11" s="29" t="s">
        <v>312</v>
      </c>
      <c r="F11" s="36" t="s">
        <v>313</v>
      </c>
      <c r="G11" s="80"/>
      <c r="H11" s="73"/>
      <c r="I11" s="47"/>
      <c r="J11" s="47"/>
      <c r="K11" s="47"/>
      <c r="L11" s="27" t="s">
        <v>265</v>
      </c>
    </row>
    <row r="12">
      <c r="A12" s="81" t="s">
        <v>314</v>
      </c>
      <c r="B12" s="37" t="s">
        <v>11</v>
      </c>
      <c r="C12" s="53">
        <v>45831.0</v>
      </c>
      <c r="D12" s="53">
        <v>45838.0</v>
      </c>
      <c r="E12" s="29" t="s">
        <v>312</v>
      </c>
      <c r="F12" s="36" t="s">
        <v>309</v>
      </c>
      <c r="G12" s="80"/>
      <c r="H12" s="73"/>
      <c r="I12" s="47"/>
      <c r="J12" s="47"/>
      <c r="K12" s="47"/>
      <c r="L12" s="27" t="s">
        <v>265</v>
      </c>
    </row>
    <row r="13">
      <c r="A13" s="81" t="s">
        <v>315</v>
      </c>
      <c r="B13" s="37" t="s">
        <v>11</v>
      </c>
      <c r="C13" s="53">
        <v>45831.0</v>
      </c>
      <c r="D13" s="53">
        <v>45838.0</v>
      </c>
      <c r="E13" s="29" t="s">
        <v>312</v>
      </c>
      <c r="F13" s="36" t="s">
        <v>309</v>
      </c>
      <c r="G13" s="80"/>
      <c r="H13" s="73"/>
      <c r="I13" s="47"/>
      <c r="J13" s="47"/>
      <c r="K13" s="47"/>
      <c r="L13" s="27" t="s">
        <v>265</v>
      </c>
    </row>
  </sheetData>
  <mergeCells count="7">
    <mergeCell ref="G7:H7"/>
    <mergeCell ref="G8:H8"/>
    <mergeCell ref="G9:H9"/>
    <mergeCell ref="G10:H10"/>
    <mergeCell ref="G11:H11"/>
    <mergeCell ref="G12:H12"/>
    <mergeCell ref="G13:H13"/>
  </mergeCells>
  <hyperlinks>
    <hyperlink r:id="rId1" location="gid=1837052031" ref="H3"/>
    <hyperlink r:id="rId2" location="gid=0" ref="H5"/>
    <hyperlink r:id="rId3" location="gid=1170769378" ref="H6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243</v>
      </c>
      <c r="J1" s="8" t="s">
        <v>244</v>
      </c>
      <c r="K1" s="8" t="s">
        <v>245</v>
      </c>
      <c r="L1" s="8" t="s">
        <v>190</v>
      </c>
    </row>
    <row r="2">
      <c r="A2" s="31" t="s">
        <v>129</v>
      </c>
      <c r="B2" s="31" t="s">
        <v>11</v>
      </c>
      <c r="C2" s="76">
        <v>45772.0</v>
      </c>
      <c r="D2" s="50">
        <v>45782.0</v>
      </c>
      <c r="E2" s="25" t="s">
        <v>295</v>
      </c>
      <c r="F2" s="77" t="s">
        <v>108</v>
      </c>
      <c r="G2" s="68" t="s">
        <v>296</v>
      </c>
      <c r="H2" s="51"/>
      <c r="I2" s="51"/>
      <c r="J2" s="51"/>
      <c r="K2" s="51"/>
      <c r="L2" s="23" t="s">
        <v>297</v>
      </c>
    </row>
    <row r="3">
      <c r="A3" s="37" t="s">
        <v>46</v>
      </c>
      <c r="B3" s="37" t="s">
        <v>11</v>
      </c>
      <c r="C3" s="53">
        <v>45791.0</v>
      </c>
      <c r="D3" s="29" t="s">
        <v>316</v>
      </c>
      <c r="E3" s="29" t="s">
        <v>12</v>
      </c>
      <c r="F3" s="36" t="s">
        <v>317</v>
      </c>
      <c r="G3" s="62" t="s">
        <v>318</v>
      </c>
      <c r="H3" s="47"/>
      <c r="I3" s="47"/>
      <c r="J3" s="47"/>
      <c r="K3" s="47"/>
      <c r="L3" s="29" t="s">
        <v>21</v>
      </c>
    </row>
    <row r="4">
      <c r="A4" s="37" t="s">
        <v>319</v>
      </c>
      <c r="B4" s="37" t="s">
        <v>11</v>
      </c>
      <c r="C4" s="29" t="s">
        <v>320</v>
      </c>
      <c r="D4" s="29" t="s">
        <v>321</v>
      </c>
      <c r="E4" s="29" t="s">
        <v>12</v>
      </c>
      <c r="F4" s="36" t="s">
        <v>322</v>
      </c>
      <c r="G4" s="62" t="s">
        <v>323</v>
      </c>
      <c r="H4" s="47"/>
      <c r="I4" s="47"/>
      <c r="J4" s="47"/>
      <c r="K4" s="47"/>
      <c r="L4" s="27" t="s">
        <v>265</v>
      </c>
    </row>
    <row r="5">
      <c r="A5" s="37" t="s">
        <v>55</v>
      </c>
      <c r="B5" s="37" t="s">
        <v>11</v>
      </c>
      <c r="C5" s="53">
        <v>45803.0</v>
      </c>
      <c r="D5" s="53">
        <v>45810.0</v>
      </c>
      <c r="E5" s="29" t="s">
        <v>21</v>
      </c>
      <c r="F5" s="36" t="s">
        <v>324</v>
      </c>
      <c r="G5" s="62" t="s">
        <v>325</v>
      </c>
      <c r="H5" s="47"/>
      <c r="I5" s="47"/>
      <c r="J5" s="47"/>
      <c r="K5" s="47"/>
      <c r="L5" s="27" t="s">
        <v>326</v>
      </c>
    </row>
    <row r="6">
      <c r="A6" s="37" t="s">
        <v>53</v>
      </c>
      <c r="B6" s="37" t="s">
        <v>11</v>
      </c>
      <c r="C6" s="53">
        <v>45803.0</v>
      </c>
      <c r="D6" s="82">
        <v>45813.0</v>
      </c>
      <c r="E6" s="29" t="s">
        <v>295</v>
      </c>
      <c r="F6" s="36" t="s">
        <v>108</v>
      </c>
      <c r="G6" s="83" t="s">
        <v>327</v>
      </c>
      <c r="H6" s="47"/>
      <c r="I6" s="47"/>
      <c r="J6" s="47"/>
      <c r="K6" s="47"/>
      <c r="L6" s="29" t="s">
        <v>297</v>
      </c>
    </row>
    <row r="7">
      <c r="A7" s="30" t="s">
        <v>328</v>
      </c>
      <c r="B7" s="8" t="s">
        <v>2</v>
      </c>
      <c r="C7" s="8" t="s">
        <v>3</v>
      </c>
      <c r="D7" s="8" t="s">
        <v>4</v>
      </c>
      <c r="E7" s="8" t="s">
        <v>6</v>
      </c>
      <c r="F7" s="8" t="s">
        <v>7</v>
      </c>
      <c r="G7" s="8" t="s">
        <v>8</v>
      </c>
      <c r="H7" s="8" t="s">
        <v>243</v>
      </c>
      <c r="I7" s="8" t="s">
        <v>244</v>
      </c>
      <c r="J7" s="8" t="s">
        <v>245</v>
      </c>
      <c r="K7" s="8" t="s">
        <v>190</v>
      </c>
      <c r="L7" s="10"/>
    </row>
    <row r="8">
      <c r="A8" s="37" t="s">
        <v>329</v>
      </c>
      <c r="B8" s="37" t="s">
        <v>11</v>
      </c>
      <c r="C8" s="53">
        <v>45782.0</v>
      </c>
      <c r="D8" s="53">
        <v>45792.0</v>
      </c>
      <c r="E8" s="36" t="s">
        <v>330</v>
      </c>
      <c r="F8" s="37" t="s">
        <v>287</v>
      </c>
      <c r="G8" s="47"/>
      <c r="H8" s="47"/>
      <c r="I8" s="47"/>
      <c r="J8" s="47"/>
      <c r="K8" s="29" t="s">
        <v>265</v>
      </c>
      <c r="L8" s="10"/>
    </row>
    <row r="9">
      <c r="A9" s="37" t="s">
        <v>331</v>
      </c>
      <c r="B9" s="37" t="s">
        <v>11</v>
      </c>
      <c r="C9" s="53">
        <v>45786.0</v>
      </c>
      <c r="D9" s="53">
        <v>45799.0</v>
      </c>
      <c r="E9" s="36" t="s">
        <v>332</v>
      </c>
      <c r="F9" s="37" t="s">
        <v>333</v>
      </c>
      <c r="G9" s="47"/>
      <c r="H9" s="47"/>
      <c r="I9" s="47"/>
      <c r="J9" s="47"/>
      <c r="K9" s="29" t="s">
        <v>265</v>
      </c>
      <c r="L9" s="10"/>
    </row>
    <row r="10">
      <c r="A10" s="37" t="s">
        <v>334</v>
      </c>
      <c r="B10" s="37" t="s">
        <v>11</v>
      </c>
      <c r="C10" s="53">
        <v>45786.0</v>
      </c>
      <c r="D10" s="53">
        <v>45799.0</v>
      </c>
      <c r="E10" s="36" t="s">
        <v>335</v>
      </c>
      <c r="F10" s="37" t="s">
        <v>287</v>
      </c>
      <c r="G10" s="47"/>
      <c r="H10" s="47"/>
      <c r="I10" s="47"/>
      <c r="J10" s="47"/>
      <c r="K10" s="29" t="s">
        <v>265</v>
      </c>
      <c r="L10" s="10"/>
    </row>
    <row r="11">
      <c r="A11" s="37" t="s">
        <v>336</v>
      </c>
      <c r="B11" s="37" t="s">
        <v>11</v>
      </c>
      <c r="C11" s="53">
        <v>45799.0</v>
      </c>
      <c r="D11" s="53">
        <v>45810.0</v>
      </c>
      <c r="E11" s="36" t="s">
        <v>337</v>
      </c>
      <c r="F11" s="37" t="s">
        <v>287</v>
      </c>
      <c r="G11" s="47"/>
      <c r="H11" s="47"/>
      <c r="I11" s="47"/>
      <c r="J11" s="47"/>
      <c r="K11" s="29" t="s">
        <v>265</v>
      </c>
      <c r="L11" s="10"/>
    </row>
    <row r="12">
      <c r="A12" s="37" t="s">
        <v>338</v>
      </c>
      <c r="B12" s="37" t="s">
        <v>11</v>
      </c>
      <c r="C12" s="53">
        <v>45782.0</v>
      </c>
      <c r="D12" s="53">
        <v>45792.0</v>
      </c>
      <c r="E12" s="84" t="s">
        <v>339</v>
      </c>
      <c r="F12" s="37" t="s">
        <v>287</v>
      </c>
      <c r="G12" s="47"/>
      <c r="H12" s="47"/>
      <c r="I12" s="47"/>
      <c r="J12" s="47"/>
      <c r="K12" s="29" t="s">
        <v>265</v>
      </c>
      <c r="L12" s="10"/>
    </row>
    <row r="13">
      <c r="A13" s="37" t="s">
        <v>340</v>
      </c>
      <c r="B13" s="37" t="s">
        <v>11</v>
      </c>
      <c r="C13" s="53">
        <v>45786.0</v>
      </c>
      <c r="D13" s="53">
        <v>45799.0</v>
      </c>
      <c r="E13" s="84" t="s">
        <v>341</v>
      </c>
      <c r="F13" s="37" t="s">
        <v>287</v>
      </c>
      <c r="G13" s="47"/>
      <c r="H13" s="47"/>
      <c r="I13" s="47"/>
      <c r="J13" s="47"/>
      <c r="K13" s="29" t="s">
        <v>265</v>
      </c>
      <c r="L13" s="10"/>
    </row>
  </sheetData>
  <hyperlinks>
    <hyperlink r:id="rId1" ref="G6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342</v>
      </c>
      <c r="B1" s="8" t="s">
        <v>343</v>
      </c>
      <c r="C1" s="8" t="s">
        <v>344</v>
      </c>
      <c r="D1" s="85" t="s">
        <v>345</v>
      </c>
      <c r="E1" s="8" t="s">
        <v>346</v>
      </c>
      <c r="F1" s="8" t="s">
        <v>347</v>
      </c>
    </row>
    <row r="2">
      <c r="A2" s="86">
        <v>45748.0</v>
      </c>
      <c r="B2" s="86">
        <v>45750.0</v>
      </c>
      <c r="C2" s="29" t="s">
        <v>348</v>
      </c>
      <c r="D2" s="27" t="s">
        <v>53</v>
      </c>
      <c r="E2" s="29" t="s">
        <v>59</v>
      </c>
      <c r="F2" s="47"/>
    </row>
    <row r="3">
      <c r="A3" s="86">
        <v>45748.0</v>
      </c>
      <c r="B3" s="86">
        <v>45750.0</v>
      </c>
      <c r="C3" s="29" t="s">
        <v>349</v>
      </c>
      <c r="D3" s="27" t="s">
        <v>350</v>
      </c>
      <c r="E3" s="29" t="s">
        <v>98</v>
      </c>
      <c r="F3" s="47"/>
    </row>
    <row r="4">
      <c r="A4" s="86">
        <v>45750.0</v>
      </c>
      <c r="B4" s="87">
        <f>A4+4</f>
        <v>45754</v>
      </c>
      <c r="C4" s="29" t="s">
        <v>351</v>
      </c>
      <c r="D4" s="27" t="s">
        <v>352</v>
      </c>
      <c r="E4" s="29" t="s">
        <v>353</v>
      </c>
      <c r="F4" s="47"/>
    </row>
    <row r="5">
      <c r="A5" s="87">
        <f t="shared" ref="A5:A11" si="1">B4</f>
        <v>45754</v>
      </c>
      <c r="B5" s="87">
        <f>A5+3</f>
        <v>45757</v>
      </c>
      <c r="C5" s="29" t="s">
        <v>354</v>
      </c>
      <c r="D5" s="27" t="s">
        <v>355</v>
      </c>
      <c r="E5" s="29" t="s">
        <v>353</v>
      </c>
      <c r="F5" s="88" t="s">
        <v>356</v>
      </c>
    </row>
    <row r="6">
      <c r="A6" s="87">
        <f t="shared" si="1"/>
        <v>45757</v>
      </c>
      <c r="B6" s="87">
        <f>A6+6</f>
        <v>45763</v>
      </c>
      <c r="C6" s="29" t="s">
        <v>357</v>
      </c>
      <c r="D6" s="89" t="s">
        <v>358</v>
      </c>
      <c r="E6" s="29" t="s">
        <v>353</v>
      </c>
      <c r="F6" s="88" t="s">
        <v>359</v>
      </c>
    </row>
    <row r="7">
      <c r="A7" s="87">
        <f t="shared" si="1"/>
        <v>45763</v>
      </c>
      <c r="B7" s="87">
        <f>A7+4</f>
        <v>45767</v>
      </c>
      <c r="C7" s="29" t="s">
        <v>360</v>
      </c>
      <c r="D7" s="89" t="s">
        <v>361</v>
      </c>
      <c r="E7" s="29" t="s">
        <v>353</v>
      </c>
      <c r="F7" s="90" t="s">
        <v>362</v>
      </c>
    </row>
    <row r="8">
      <c r="A8" s="87">
        <f t="shared" si="1"/>
        <v>45767</v>
      </c>
      <c r="B8" s="87">
        <f>A8+2</f>
        <v>45769</v>
      </c>
      <c r="C8" s="29" t="s">
        <v>363</v>
      </c>
      <c r="D8" s="27" t="s">
        <v>364</v>
      </c>
      <c r="E8" s="29" t="s">
        <v>353</v>
      </c>
      <c r="F8" s="88" t="s">
        <v>365</v>
      </c>
    </row>
    <row r="9">
      <c r="A9" s="87">
        <f t="shared" si="1"/>
        <v>45769</v>
      </c>
      <c r="B9" s="87">
        <f t="shared" ref="B9:B10" si="2">A9+3</f>
        <v>45772</v>
      </c>
      <c r="C9" s="29" t="s">
        <v>357</v>
      </c>
      <c r="D9" s="27" t="s">
        <v>366</v>
      </c>
      <c r="E9" s="29" t="s">
        <v>353</v>
      </c>
      <c r="F9" s="88" t="s">
        <v>367</v>
      </c>
    </row>
    <row r="10">
      <c r="A10" s="87">
        <f t="shared" si="1"/>
        <v>45772</v>
      </c>
      <c r="B10" s="87">
        <f t="shared" si="2"/>
        <v>45775</v>
      </c>
      <c r="C10" s="91" t="s">
        <v>368</v>
      </c>
      <c r="D10" s="92"/>
      <c r="E10" s="73"/>
      <c r="F10" s="47"/>
    </row>
    <row r="11">
      <c r="A11" s="87">
        <f t="shared" si="1"/>
        <v>45775</v>
      </c>
      <c r="B11" s="87">
        <f>A11+7</f>
        <v>45782</v>
      </c>
      <c r="C11" s="29" t="s">
        <v>369</v>
      </c>
      <c r="D11" s="27" t="s">
        <v>370</v>
      </c>
      <c r="E11" s="29" t="s">
        <v>353</v>
      </c>
      <c r="F11" s="88" t="s">
        <v>371</v>
      </c>
    </row>
  </sheetData>
  <mergeCells count="1">
    <mergeCell ref="C10:E10"/>
  </mergeCells>
  <hyperlinks>
    <hyperlink r:id="rId1" location="gid=0" ref="F5"/>
    <hyperlink r:id="rId2" location="gid=0" ref="F6"/>
    <hyperlink r:id="rId3" location="gid=915994930" ref="F7"/>
    <hyperlink r:id="rId4" location="gid=0" ref="F8"/>
    <hyperlink r:id="rId5" location="gid=0" ref="F9"/>
    <hyperlink r:id="rId6" location="gid=0" ref="F11"/>
  </hyperlinks>
  <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30" t="s">
        <v>0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>
      <c r="A4" s="31" t="s">
        <v>372</v>
      </c>
      <c r="B4" s="31" t="s">
        <v>11</v>
      </c>
      <c r="C4" s="76">
        <v>45719.0</v>
      </c>
      <c r="D4" s="76">
        <v>45726.0</v>
      </c>
      <c r="E4" s="25" t="s">
        <v>373</v>
      </c>
      <c r="F4" s="77" t="s">
        <v>374</v>
      </c>
      <c r="G4" s="68" t="s">
        <v>375</v>
      </c>
      <c r="H4" s="51"/>
    </row>
    <row r="5">
      <c r="A5" s="37" t="s">
        <v>81</v>
      </c>
      <c r="B5" s="37" t="s">
        <v>11</v>
      </c>
      <c r="C5" s="82">
        <v>45719.0</v>
      </c>
      <c r="D5" s="82">
        <v>45724.0</v>
      </c>
      <c r="E5" s="29" t="s">
        <v>12</v>
      </c>
      <c r="F5" s="36" t="s">
        <v>376</v>
      </c>
      <c r="G5" s="62" t="s">
        <v>377</v>
      </c>
      <c r="H5" s="93" t="s">
        <v>378</v>
      </c>
    </row>
    <row r="6">
      <c r="A6" s="37" t="s">
        <v>379</v>
      </c>
      <c r="B6" s="37" t="s">
        <v>98</v>
      </c>
      <c r="C6" s="29" t="s">
        <v>21</v>
      </c>
      <c r="D6" s="82">
        <v>45729.0</v>
      </c>
      <c r="E6" s="29" t="s">
        <v>12</v>
      </c>
      <c r="F6" s="36" t="s">
        <v>21</v>
      </c>
      <c r="G6" s="36" t="s">
        <v>21</v>
      </c>
      <c r="H6" s="47"/>
    </row>
    <row r="7">
      <c r="A7" s="31" t="s">
        <v>380</v>
      </c>
      <c r="B7" s="31" t="s">
        <v>11</v>
      </c>
      <c r="C7" s="76">
        <f>D4</f>
        <v>45726</v>
      </c>
      <c r="D7" s="76">
        <f t="shared" ref="D7:D8" si="1">C7+7</f>
        <v>45733</v>
      </c>
      <c r="E7" s="23" t="s">
        <v>381</v>
      </c>
      <c r="F7" s="68" t="s">
        <v>382</v>
      </c>
      <c r="G7" s="68" t="s">
        <v>375</v>
      </c>
      <c r="H7" s="51"/>
    </row>
    <row r="8">
      <c r="A8" s="31" t="s">
        <v>383</v>
      </c>
      <c r="B8" s="31" t="s">
        <v>11</v>
      </c>
      <c r="C8" s="76">
        <f>D7</f>
        <v>45733</v>
      </c>
      <c r="D8" s="76">
        <f t="shared" si="1"/>
        <v>45740</v>
      </c>
      <c r="E8" s="23" t="s">
        <v>384</v>
      </c>
      <c r="F8" s="77" t="s">
        <v>385</v>
      </c>
      <c r="G8" s="68" t="s">
        <v>386</v>
      </c>
      <c r="H8" s="51"/>
    </row>
    <row r="9">
      <c r="A9" s="37" t="s">
        <v>387</v>
      </c>
      <c r="B9" s="37" t="s">
        <v>11</v>
      </c>
      <c r="C9" s="82">
        <v>45730.0</v>
      </c>
      <c r="D9" s="82">
        <v>45737.0</v>
      </c>
      <c r="E9" s="29" t="s">
        <v>12</v>
      </c>
      <c r="F9" s="36" t="s">
        <v>388</v>
      </c>
      <c r="G9" s="62" t="s">
        <v>377</v>
      </c>
      <c r="H9" s="93" t="s">
        <v>389</v>
      </c>
    </row>
    <row r="10">
      <c r="A10" s="31" t="s">
        <v>390</v>
      </c>
      <c r="B10" s="31" t="s">
        <v>11</v>
      </c>
      <c r="C10" s="23" t="s">
        <v>21</v>
      </c>
      <c r="D10" s="23" t="s">
        <v>21</v>
      </c>
      <c r="E10" s="23" t="s">
        <v>391</v>
      </c>
      <c r="F10" s="77" t="s">
        <v>108</v>
      </c>
      <c r="G10" s="68" t="s">
        <v>375</v>
      </c>
      <c r="H10" s="51"/>
    </row>
    <row r="11">
      <c r="A11" s="37" t="s">
        <v>392</v>
      </c>
      <c r="B11" s="37" t="s">
        <v>98</v>
      </c>
      <c r="C11" s="82">
        <v>45737.0</v>
      </c>
      <c r="D11" s="82">
        <v>45751.0</v>
      </c>
      <c r="E11" s="29" t="s">
        <v>12</v>
      </c>
      <c r="F11" s="36" t="s">
        <v>393</v>
      </c>
      <c r="G11" s="62" t="s">
        <v>394</v>
      </c>
      <c r="H11" s="94" t="s">
        <v>395</v>
      </c>
    </row>
  </sheetData>
  <hyperlinks>
    <hyperlink r:id="rId1" location="gid=0" ref="H5"/>
    <hyperlink r:id="rId2" location="gid=0" ref="H9"/>
    <hyperlink r:id="rId3" location="gid=0" ref="H11"/>
  </hyperlinks>
  <drawing r:id="rId4"/>
</worksheet>
</file>